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angmin3FNH\Desktop\"/>
    </mc:Choice>
  </mc:AlternateContent>
  <bookViews>
    <workbookView xWindow="12825" yWindow="-105" windowWidth="19425" windowHeight="11505" activeTab="4"/>
  </bookViews>
  <sheets>
    <sheet name="全員名冊" sheetId="1" r:id="rId1"/>
    <sheet name="護理人員名冊" sheetId="2" state="hidden" r:id="rId2"/>
    <sheet name="照服員名冊" sheetId="3" state="hidden" r:id="rId3"/>
    <sheet name="其他" sheetId="4" state="hidden" r:id="rId4"/>
    <sheet name="3F員工" sheetId="10" r:id="rId5"/>
  </sheets>
  <definedNames>
    <definedName name="_xlnm._FilterDatabase" localSheetId="0" hidden="1">全員名冊!$A$3:$Q$33</definedName>
    <definedName name="_xlnm.Print_Area" localSheetId="0">全員名冊!$A$1:$I$35</definedName>
    <definedName name="Z_0859B5D0_67CB_4F4E_8B9E_5B9048AAEEE7_.wvu.Cols" localSheetId="0" hidden="1">全員名冊!$J:$L</definedName>
    <definedName name="Z_0859B5D0_67CB_4F4E_8B9E_5B9048AAEEE7_.wvu.FilterData" localSheetId="0" hidden="1">全員名冊!$A$3:$Q$33</definedName>
    <definedName name="Z_0859B5D0_67CB_4F4E_8B9E_5B9048AAEEE7_.wvu.PrintArea" localSheetId="0" hidden="1">全員名冊!$A$1:$I$33</definedName>
    <definedName name="Z_21E1AD07_E3DB_4C7C_94DF_381B693E218C_.wvu.FilterData" localSheetId="0" hidden="1">全員名冊!$A$3:$R$33</definedName>
    <definedName name="Z_E3A5F6DA_3A17_412E_AE29_CC07EA04364D_.wvu.Cols" localSheetId="0" hidden="1">全員名冊!$J:$L</definedName>
    <definedName name="Z_E3A5F6DA_3A17_412E_AE29_CC07EA04364D_.wvu.FilterData" localSheetId="0" hidden="1">全員名冊!$A$3:$Q$33</definedName>
    <definedName name="Z_E3A5F6DA_3A17_412E_AE29_CC07EA04364D_.wvu.PrintArea" localSheetId="0" hidden="1">全員名冊!$A$1:$I$33</definedName>
    <definedName name="Z_F04CC87F_8BB9_4ADB_A881_691B83CEC8D0_.wvu.FilterData" localSheetId="0" hidden="1">全員名冊!$A$3:$R$33</definedName>
    <definedName name="Z_F04CC87F_8BB9_4ADB_A881_691B83CEC8D0_.wvu.PrintArea" localSheetId="0" hidden="1">全員名冊!$A$1:$I$33</definedName>
  </definedNames>
  <calcPr calcId="162913"/>
  <customWorkbookViews>
    <customWorkbookView name="User - 個人檢視畫面" guid="{0859B5D0-67CB-4F4E-8B9E-5B9048AAEEE7}" mergeInterval="0" personalView="1" maximized="1" xWindow="-9" yWindow="-9" windowWidth="1938" windowHeight="1038" activeSheetId="1"/>
    <customWorkbookView name="CNNH - 個人檢視畫面" guid="{F04CC87F-8BB9-4ADB-A881-691B83CEC8D0}" mergeInterval="0" personalView="1" maximized="1" xWindow="-11" yWindow="-11" windowWidth="1942" windowHeight="1030" activeSheetId="1"/>
    <customWorkbookView name="書記 - 個人檢視畫面" guid="{E3A5F6DA-3A17-412E-AE29-CC07EA04364D}" mergeInterval="0" personalView="1" maximized="1" xWindow="-9" yWindow="-9" windowWidth="1938" windowHeight="1038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0" l="1"/>
  <c r="D30" i="10"/>
  <c r="G30" i="10"/>
  <c r="F30" i="10"/>
  <c r="E30" i="10"/>
  <c r="C4" i="10"/>
  <c r="F4" i="10"/>
  <c r="C5" i="10"/>
  <c r="D5" i="10"/>
  <c r="E5" i="10"/>
  <c r="F5" i="10"/>
  <c r="G5" i="10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9" i="10"/>
  <c r="D9" i="10"/>
  <c r="E9" i="10"/>
  <c r="F9" i="10"/>
  <c r="G9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4" i="10"/>
  <c r="D14" i="10"/>
  <c r="E14" i="10"/>
  <c r="F14" i="10"/>
  <c r="G14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3" i="10"/>
  <c r="D23" i="10"/>
  <c r="E23" i="10"/>
  <c r="F23" i="10"/>
  <c r="G23" i="10"/>
  <c r="C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C28" i="10"/>
  <c r="D28" i="10"/>
  <c r="F28" i="10"/>
  <c r="C29" i="10"/>
  <c r="D29" i="10"/>
  <c r="E29" i="10"/>
  <c r="F29" i="10"/>
  <c r="G29" i="10"/>
  <c r="C2" i="4" l="1"/>
  <c r="C2" i="3"/>
  <c r="C2" i="2"/>
</calcChain>
</file>

<file path=xl/sharedStrings.xml><?xml version="1.0" encoding="utf-8"?>
<sst xmlns="http://schemas.openxmlformats.org/spreadsheetml/2006/main" count="712" uniqueCount="402">
  <si>
    <t>序號</t>
    <phoneticPr fontId="3" type="noConversion"/>
  </si>
  <si>
    <t>正職    兼任</t>
    <phoneticPr fontId="3" type="noConversion"/>
  </si>
  <si>
    <t>職務</t>
    <phoneticPr fontId="3" type="noConversion"/>
  </si>
  <si>
    <t>姓名</t>
    <phoneticPr fontId="3" type="noConversion"/>
  </si>
  <si>
    <t>身份證字號</t>
    <phoneticPr fontId="3" type="noConversion"/>
  </si>
  <si>
    <t>性別</t>
    <phoneticPr fontId="3" type="noConversion"/>
  </si>
  <si>
    <t>生日</t>
    <phoneticPr fontId="3" type="noConversion"/>
  </si>
  <si>
    <t>1</t>
    <phoneticPr fontId="2" type="noConversion"/>
  </si>
  <si>
    <t>正職</t>
    <phoneticPr fontId="3" type="noConversion"/>
  </si>
  <si>
    <t>護理人員</t>
    <phoneticPr fontId="3" type="noConversion"/>
  </si>
  <si>
    <t>王若君</t>
    <phoneticPr fontId="3" type="noConversion"/>
  </si>
  <si>
    <t>J221318008</t>
    <phoneticPr fontId="3" type="noConversion"/>
  </si>
  <si>
    <t>女</t>
  </si>
  <si>
    <t>2</t>
    <phoneticPr fontId="2" type="noConversion"/>
  </si>
  <si>
    <t>陳韻琇</t>
    <phoneticPr fontId="2" type="noConversion"/>
  </si>
  <si>
    <t>A230197242</t>
    <phoneticPr fontId="2" type="noConversion"/>
  </si>
  <si>
    <t>女</t>
    <phoneticPr fontId="2" type="noConversion"/>
  </si>
  <si>
    <t>黃蕾</t>
    <phoneticPr fontId="3" type="noConversion"/>
  </si>
  <si>
    <t>A226387596</t>
    <phoneticPr fontId="3" type="noConversion"/>
  </si>
  <si>
    <t>尹嫚言</t>
    <phoneticPr fontId="3" type="noConversion"/>
  </si>
  <si>
    <t>F225672064</t>
    <phoneticPr fontId="3" type="noConversion"/>
  </si>
  <si>
    <t>傅韋婷</t>
  </si>
  <si>
    <t>S223237932</t>
  </si>
  <si>
    <t>劉芷均</t>
    <phoneticPr fontId="2" type="noConversion"/>
  </si>
  <si>
    <t>S224383791</t>
    <phoneticPr fontId="2" type="noConversion"/>
  </si>
  <si>
    <t>陳氏瓊</t>
    <phoneticPr fontId="3" type="noConversion"/>
  </si>
  <si>
    <t>AD30423767</t>
    <phoneticPr fontId="3" type="noConversion"/>
  </si>
  <si>
    <t>蓮妮</t>
    <phoneticPr fontId="3" type="noConversion"/>
  </si>
  <si>
    <t>AD30583571</t>
    <phoneticPr fontId="3" type="noConversion"/>
  </si>
  <si>
    <t>丁金英</t>
    <phoneticPr fontId="3" type="noConversion"/>
  </si>
  <si>
    <t>AD30696975</t>
    <phoneticPr fontId="3" type="noConversion"/>
  </si>
  <si>
    <t>賓蒂</t>
    <phoneticPr fontId="3" type="noConversion"/>
  </si>
  <si>
    <t>F900226542</t>
    <phoneticPr fontId="3" type="noConversion"/>
  </si>
  <si>
    <t>女</t>
    <phoneticPr fontId="3" type="noConversion"/>
  </si>
  <si>
    <t>維特</t>
    <phoneticPr fontId="3" type="noConversion"/>
  </si>
  <si>
    <t>A900778484</t>
    <phoneticPr fontId="2" type="noConversion"/>
  </si>
  <si>
    <t>馬利娜</t>
    <phoneticPr fontId="3" type="noConversion"/>
  </si>
  <si>
    <t>F900776387</t>
    <phoneticPr fontId="2" type="noConversion"/>
  </si>
  <si>
    <t>妮奇塔</t>
    <phoneticPr fontId="3" type="noConversion"/>
  </si>
  <si>
    <t>R900228241</t>
    <phoneticPr fontId="3" type="noConversion"/>
  </si>
  <si>
    <t>蒂卡</t>
    <phoneticPr fontId="2" type="noConversion"/>
  </si>
  <si>
    <t>S900066733</t>
    <phoneticPr fontId="2" type="noConversion"/>
  </si>
  <si>
    <t>高氏海</t>
    <phoneticPr fontId="3" type="noConversion"/>
  </si>
  <si>
    <t>F260152112</t>
    <phoneticPr fontId="3" type="noConversion"/>
  </si>
  <si>
    <t>周蘇曼</t>
    <phoneticPr fontId="3" type="noConversion"/>
  </si>
  <si>
    <t>A220089500</t>
    <phoneticPr fontId="3" type="noConversion"/>
  </si>
  <si>
    <t>林士賢</t>
    <phoneticPr fontId="3" type="noConversion"/>
  </si>
  <si>
    <t>A133238793</t>
    <phoneticPr fontId="3" type="noConversion"/>
  </si>
  <si>
    <t>男</t>
  </si>
  <si>
    <t>吳祥煌</t>
    <phoneticPr fontId="3" type="noConversion"/>
  </si>
  <si>
    <t>N122027025</t>
    <phoneticPr fontId="3" type="noConversion"/>
  </si>
  <si>
    <t>甘佳如</t>
    <phoneticPr fontId="3" type="noConversion"/>
  </si>
  <si>
    <t>B221200700</t>
    <phoneticPr fontId="3" type="noConversion"/>
  </si>
  <si>
    <t>何靜惠</t>
    <phoneticPr fontId="3" type="noConversion"/>
  </si>
  <si>
    <t>F227137424</t>
    <phoneticPr fontId="3" type="noConversion"/>
  </si>
  <si>
    <t>行政人員</t>
    <phoneticPr fontId="2" type="noConversion"/>
  </si>
  <si>
    <t>彭玉蘭</t>
    <phoneticPr fontId="2" type="noConversion"/>
  </si>
  <si>
    <t>A220120373</t>
    <phoneticPr fontId="3" type="noConversion"/>
  </si>
  <si>
    <t>黃顯順</t>
    <phoneticPr fontId="2" type="noConversion"/>
  </si>
  <si>
    <t>A229356226</t>
    <phoneticPr fontId="2" type="noConversion"/>
  </si>
  <si>
    <t>營養師</t>
    <phoneticPr fontId="2" type="noConversion"/>
  </si>
  <si>
    <t>陳皇琦</t>
    <phoneticPr fontId="2" type="noConversion"/>
  </si>
  <si>
    <t>F124486259</t>
    <phoneticPr fontId="3" type="noConversion"/>
  </si>
  <si>
    <t>男</t>
    <phoneticPr fontId="2" type="noConversion"/>
  </si>
  <si>
    <t>廚工</t>
    <phoneticPr fontId="2" type="noConversion"/>
  </si>
  <si>
    <t>楊岳儒</t>
    <phoneticPr fontId="2" type="noConversion"/>
  </si>
  <si>
    <t>呂淑貞</t>
    <phoneticPr fontId="2" type="noConversion"/>
  </si>
  <si>
    <t>F223620302</t>
    <phoneticPr fontId="2" type="noConversion"/>
  </si>
  <si>
    <t>社工</t>
    <phoneticPr fontId="2" type="noConversion"/>
  </si>
  <si>
    <t>李宜芳</t>
    <phoneticPr fontId="2" type="noConversion"/>
  </si>
  <si>
    <t>Y220289643</t>
  </si>
  <si>
    <t>兼任</t>
    <phoneticPr fontId="3" type="noConversion"/>
  </si>
  <si>
    <t>朱素梅</t>
    <phoneticPr fontId="3" type="noConversion"/>
  </si>
  <si>
    <t>D220670942</t>
    <phoneticPr fontId="3" type="noConversion"/>
  </si>
  <si>
    <t>離職</t>
    <phoneticPr fontId="2" type="noConversion"/>
  </si>
  <si>
    <t>職能治療師</t>
    <phoneticPr fontId="3" type="noConversion"/>
  </si>
  <si>
    <t>許甄尹</t>
    <phoneticPr fontId="3" type="noConversion"/>
  </si>
  <si>
    <t>V221232585</t>
    <phoneticPr fontId="3" type="noConversion"/>
  </si>
  <si>
    <t>范氏蓉</t>
    <phoneticPr fontId="3" type="noConversion"/>
  </si>
  <si>
    <t>ND01525299</t>
    <phoneticPr fontId="3" type="noConversion"/>
  </si>
  <si>
    <t>廚工</t>
    <phoneticPr fontId="3" type="noConversion"/>
  </si>
  <si>
    <t>施佩妤</t>
    <phoneticPr fontId="3" type="noConversion"/>
  </si>
  <si>
    <t>A226853059</t>
    <phoneticPr fontId="3" type="noConversion"/>
  </si>
  <si>
    <t>鍾嘉孟</t>
    <phoneticPr fontId="3" type="noConversion"/>
  </si>
  <si>
    <t>A221304515</t>
    <phoneticPr fontId="3" type="noConversion"/>
  </si>
  <si>
    <t>到職日期</t>
    <phoneticPr fontId="2" type="noConversion"/>
  </si>
  <si>
    <t>離職日期</t>
    <phoneticPr fontId="2" type="noConversion"/>
  </si>
  <si>
    <t>兼任</t>
    <phoneticPr fontId="2" type="noConversion"/>
  </si>
  <si>
    <t>林怡伶</t>
    <phoneticPr fontId="2" type="noConversion"/>
  </si>
  <si>
    <t>鍾艾蓁</t>
    <phoneticPr fontId="2" type="noConversion"/>
  </si>
  <si>
    <t>何珮玉</t>
    <phoneticPr fontId="2" type="noConversion"/>
  </si>
  <si>
    <t>T220315994</t>
  </si>
  <si>
    <t>C221028049</t>
    <phoneticPr fontId="2" type="noConversion"/>
  </si>
  <si>
    <t>G221088530</t>
    <phoneticPr fontId="2" type="noConversion"/>
  </si>
  <si>
    <t>058/03/16</t>
  </si>
  <si>
    <t>051/04/20</t>
  </si>
  <si>
    <t>084/07/24</t>
  </si>
  <si>
    <t>072/05/22</t>
  </si>
  <si>
    <t>073/12/19</t>
  </si>
  <si>
    <t>081/09/18</t>
  </si>
  <si>
    <t>072/07/20</t>
  </si>
  <si>
    <t>082/10/30</t>
  </si>
  <si>
    <t>076/09/18</t>
  </si>
  <si>
    <t>073/07/07</t>
  </si>
  <si>
    <t>074/10/30</t>
  </si>
  <si>
    <t>068/12/14</t>
  </si>
  <si>
    <t>081/10/18</t>
  </si>
  <si>
    <t>057/08/28</t>
  </si>
  <si>
    <t>049/07/22</t>
  </si>
  <si>
    <t>049/11/17</t>
  </si>
  <si>
    <t>054/06/27</t>
  </si>
  <si>
    <t>063/04/08</t>
  </si>
  <si>
    <t>077/12/27</t>
  </si>
  <si>
    <t>055/06/02</t>
  </si>
  <si>
    <t>085/11/05</t>
  </si>
  <si>
    <t>067/11/29</t>
  </si>
  <si>
    <t>078/12/16</t>
  </si>
  <si>
    <t>070/05/09</t>
  </si>
  <si>
    <t>073/03/30</t>
  </si>
  <si>
    <t>057/01/08</t>
  </si>
  <si>
    <t>077/06/10</t>
  </si>
  <si>
    <t>069/07/21</t>
  </si>
  <si>
    <t>081/09/06</t>
  </si>
  <si>
    <t>054/01/10</t>
  </si>
  <si>
    <t>090/01/03</t>
  </si>
  <si>
    <t>086/12/13</t>
  </si>
  <si>
    <t>109/08/06</t>
  </si>
  <si>
    <t>113/05/15</t>
  </si>
  <si>
    <t>112/10/03</t>
  </si>
  <si>
    <t>111/04/01</t>
  </si>
  <si>
    <t>111/08/22</t>
  </si>
  <si>
    <t>112/05/09</t>
  </si>
  <si>
    <t>113/05/27</t>
  </si>
  <si>
    <t>109/06/12</t>
  </si>
  <si>
    <t>111/09/01</t>
  </si>
  <si>
    <t>112/02/16</t>
  </si>
  <si>
    <t>109/09/25</t>
  </si>
  <si>
    <t>111/08/02</t>
  </si>
  <si>
    <t>109/04/21</t>
  </si>
  <si>
    <t>104/06/23</t>
  </si>
  <si>
    <t>112/11/30</t>
  </si>
  <si>
    <t>112/12/24</t>
  </si>
  <si>
    <t>113/03/01</t>
  </si>
  <si>
    <t>110/10/09</t>
  </si>
  <si>
    <t>111/08/10</t>
  </si>
  <si>
    <t>111/09/07</t>
  </si>
  <si>
    <t>112/05/16</t>
  </si>
  <si>
    <t>109/09/01</t>
  </si>
  <si>
    <t>113/02/01</t>
  </si>
  <si>
    <t>112/10/26</t>
  </si>
  <si>
    <t>112/12/01</t>
  </si>
  <si>
    <t>112/12/08</t>
  </si>
  <si>
    <t>113/07/01</t>
  </si>
  <si>
    <t>113/07/12</t>
  </si>
  <si>
    <t>鵬程護理之家  員工名冊</t>
    <phoneticPr fontId="3" type="noConversion"/>
  </si>
  <si>
    <t>製表日期：</t>
    <phoneticPr fontId="2" type="noConversion"/>
  </si>
  <si>
    <t>護理人員/負責人</t>
    <phoneticPr fontId="3" type="noConversion"/>
  </si>
  <si>
    <t>113/07/01</t>
    <phoneticPr fontId="2" type="noConversion"/>
  </si>
  <si>
    <t>112/12/01</t>
    <phoneticPr fontId="2" type="noConversion"/>
  </si>
  <si>
    <t>113/06/21</t>
    <phoneticPr fontId="2" type="noConversion"/>
  </si>
  <si>
    <t>112/11/22</t>
    <phoneticPr fontId="2" type="noConversion"/>
  </si>
  <si>
    <t>112/11/21</t>
    <phoneticPr fontId="2" type="noConversion"/>
  </si>
  <si>
    <t>支援報備</t>
    <phoneticPr fontId="2" type="noConversion"/>
  </si>
  <si>
    <t>113/07/20</t>
    <phoneticPr fontId="2" type="noConversion"/>
  </si>
  <si>
    <t>112/09/20</t>
    <phoneticPr fontId="2" type="noConversion"/>
  </si>
  <si>
    <t>111/04/18</t>
    <phoneticPr fontId="2" type="noConversion"/>
  </si>
  <si>
    <t>112/08/23</t>
    <phoneticPr fontId="2" type="noConversion"/>
  </si>
  <si>
    <t>112/09/07</t>
    <phoneticPr fontId="2" type="noConversion"/>
  </si>
  <si>
    <t>063/03/30</t>
    <phoneticPr fontId="2" type="noConversion"/>
  </si>
  <si>
    <t>顏萬菊</t>
    <phoneticPr fontId="2" type="noConversion"/>
  </si>
  <si>
    <t>C200121885</t>
    <phoneticPr fontId="2" type="noConversion"/>
  </si>
  <si>
    <t>105/10/25</t>
    <phoneticPr fontId="2" type="noConversion"/>
  </si>
  <si>
    <t>112/07/31</t>
    <phoneticPr fontId="2" type="noConversion"/>
  </si>
  <si>
    <t>陳惟君</t>
    <phoneticPr fontId="2" type="noConversion"/>
  </si>
  <si>
    <t>A230009380</t>
    <phoneticPr fontId="2" type="noConversion"/>
  </si>
  <si>
    <t>108/07/14</t>
    <phoneticPr fontId="2" type="noConversion"/>
  </si>
  <si>
    <t>069/09/02</t>
    <phoneticPr fontId="2" type="noConversion"/>
  </si>
  <si>
    <t>035/11/18</t>
    <phoneticPr fontId="2" type="noConversion"/>
  </si>
  <si>
    <t>物理治療師</t>
    <phoneticPr fontId="3" type="noConversion"/>
  </si>
  <si>
    <t>阮氏紅</t>
    <phoneticPr fontId="2" type="noConversion"/>
  </si>
  <si>
    <t>A900126766</t>
    <phoneticPr fontId="2" type="noConversion"/>
  </si>
  <si>
    <t>110/08/27</t>
    <phoneticPr fontId="2" type="noConversion"/>
  </si>
  <si>
    <t>113/04/02</t>
    <phoneticPr fontId="2" type="noConversion"/>
  </si>
  <si>
    <t>布吉</t>
    <phoneticPr fontId="2" type="noConversion"/>
  </si>
  <si>
    <t>A900093217</t>
    <phoneticPr fontId="2" type="noConversion"/>
  </si>
  <si>
    <t>113/05/31</t>
    <phoneticPr fontId="2" type="noConversion"/>
  </si>
  <si>
    <t>妮妮</t>
    <phoneticPr fontId="2" type="noConversion"/>
  </si>
  <si>
    <t>A900166635</t>
    <phoneticPr fontId="2" type="noConversion"/>
  </si>
  <si>
    <t>113/05/01</t>
    <phoneticPr fontId="2" type="noConversion"/>
  </si>
  <si>
    <t>069/01/01</t>
    <phoneticPr fontId="2" type="noConversion"/>
  </si>
  <si>
    <t>081/02/22</t>
    <phoneticPr fontId="2" type="noConversion"/>
  </si>
  <si>
    <t>066/08/14</t>
    <phoneticPr fontId="2" type="noConversion"/>
  </si>
  <si>
    <t>113/05/27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</si>
  <si>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</si>
  <si>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</si>
  <si>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</si>
  <si>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</si>
  <si>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</si>
  <si>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</si>
  <si>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</si>
  <si>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</si>
  <si>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113/07/31</t>
    <phoneticPr fontId="2" type="noConversion"/>
  </si>
  <si>
    <t>本國籍照顧服務員</t>
    <phoneticPr fontId="3" type="noConversion"/>
  </si>
  <si>
    <t>外籍照顧服務員</t>
    <phoneticPr fontId="3" type="noConversion"/>
  </si>
  <si>
    <t>F127632548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</si>
  <si>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</si>
  <si>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</si>
  <si>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</si>
  <si>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藥師</t>
    <phoneticPr fontId="2" type="noConversion"/>
  </si>
  <si>
    <t>余若青</t>
    <phoneticPr fontId="2" type="noConversion"/>
  </si>
  <si>
    <t>111/10/20</t>
    <phoneticPr fontId="2" type="noConversion"/>
  </si>
  <si>
    <t>H222012951</t>
    <phoneticPr fontId="2" type="noConversion"/>
  </si>
  <si>
    <t>067/02/01</t>
    <phoneticPr fontId="2" type="noConversion"/>
  </si>
  <si>
    <t>鵬程護理之家  護理人員名冊</t>
    <phoneticPr fontId="3" type="noConversion"/>
  </si>
  <si>
    <t>鵬程護理之家  照服員名冊</t>
    <phoneticPr fontId="3" type="noConversion"/>
  </si>
  <si>
    <t>112/11/29</t>
    <phoneticPr fontId="2" type="noConversion"/>
  </si>
  <si>
    <t>3</t>
    <phoneticPr fontId="2" type="noConversion"/>
  </si>
  <si>
    <t>社會工作人員</t>
    <phoneticPr fontId="2" type="noConversion"/>
  </si>
  <si>
    <t>社會工作人員</t>
    <phoneticPr fontId="3" type="noConversion"/>
  </si>
  <si>
    <t>聯絡電話</t>
    <phoneticPr fontId="2" type="noConversion"/>
  </si>
  <si>
    <t>學歷</t>
    <phoneticPr fontId="2" type="noConversion"/>
  </si>
  <si>
    <t>地址</t>
    <phoneticPr fontId="2" type="noConversion"/>
  </si>
  <si>
    <t>0981-852113</t>
  </si>
  <si>
    <t>0983-960573</t>
  </si>
  <si>
    <t>0939-956686</t>
  </si>
  <si>
    <t>0970-893332</t>
  </si>
  <si>
    <t>0939-651518</t>
  </si>
  <si>
    <t>0928-107075</t>
  </si>
  <si>
    <t>0987-050503</t>
  </si>
  <si>
    <t>0981-614985</t>
  </si>
  <si>
    <t>0930-320315</t>
  </si>
  <si>
    <t>0912-287747</t>
  </si>
  <si>
    <t>0909-685258</t>
  </si>
  <si>
    <t>0979-509537</t>
  </si>
  <si>
    <t>0970-110523</t>
  </si>
  <si>
    <t>0963-043955</t>
  </si>
  <si>
    <t>(02)25526289</t>
  </si>
  <si>
    <t>(02)24511225</t>
  </si>
  <si>
    <t>隱藏</t>
    <phoneticPr fontId="2" type="noConversion"/>
  </si>
  <si>
    <t>合約</t>
    <phoneticPr fontId="2" type="noConversion"/>
  </si>
  <si>
    <t>113/10/01</t>
    <phoneticPr fontId="2" type="noConversion"/>
  </si>
  <si>
    <t>0966-598511</t>
    <phoneticPr fontId="2" type="noConversion"/>
  </si>
  <si>
    <t>2</t>
    <phoneticPr fontId="2" type="noConversion"/>
  </si>
  <si>
    <t>3</t>
  </si>
  <si>
    <t>4</t>
  </si>
  <si>
    <t>5</t>
  </si>
  <si>
    <t>113/11/14</t>
    <phoneticPr fontId="2" type="noConversion"/>
  </si>
  <si>
    <t>0965-307176</t>
    <phoneticPr fontId="2" type="noConversion"/>
  </si>
  <si>
    <t>20</t>
    <phoneticPr fontId="2" type="noConversion"/>
  </si>
  <si>
    <t>醫師</t>
    <phoneticPr fontId="2" type="noConversion"/>
  </si>
  <si>
    <t>F221904001</t>
    <phoneticPr fontId="2" type="noConversion"/>
  </si>
  <si>
    <t>0932-138400</t>
    <phoneticPr fontId="2" type="noConversion"/>
  </si>
  <si>
    <t>總務(防火管理人)</t>
    <phoneticPr fontId="2" type="noConversion"/>
  </si>
  <si>
    <t>067/08/13</t>
    <phoneticPr fontId="2" type="noConversion"/>
  </si>
  <si>
    <t>A900096405</t>
    <phoneticPr fontId="3" type="noConversion"/>
  </si>
  <si>
    <t>0988-029687</t>
    <phoneticPr fontId="2" type="noConversion"/>
  </si>
  <si>
    <t>0914-021291</t>
    <phoneticPr fontId="2" type="noConversion"/>
  </si>
  <si>
    <t>0919-284424</t>
    <phoneticPr fontId="2" type="noConversion"/>
  </si>
  <si>
    <t>050/09/09</t>
    <phoneticPr fontId="2" type="noConversion"/>
  </si>
  <si>
    <t>113/08/26</t>
    <phoneticPr fontId="2" type="noConversion"/>
  </si>
  <si>
    <t xml:space="preserve"> </t>
    <phoneticPr fontId="2" type="noConversion"/>
  </si>
  <si>
    <t>陽明醫院附設護理之家  員工名冊</t>
    <phoneticPr fontId="3" type="noConversion"/>
  </si>
  <si>
    <t>李欣蕙</t>
    <phoneticPr fontId="3" type="noConversion"/>
  </si>
  <si>
    <t>065/04/24</t>
    <phoneticPr fontId="2" type="noConversion"/>
  </si>
  <si>
    <t>黃珮鈞</t>
    <phoneticPr fontId="2" type="noConversion"/>
  </si>
  <si>
    <t>071/04/20</t>
    <phoneticPr fontId="2" type="noConversion"/>
  </si>
  <si>
    <t>109/07/01</t>
    <phoneticPr fontId="2" type="noConversion"/>
  </si>
  <si>
    <t>郭宥彤</t>
    <phoneticPr fontId="2" type="noConversion"/>
  </si>
  <si>
    <t>070/09/18</t>
    <phoneticPr fontId="2" type="noConversion"/>
  </si>
  <si>
    <t>邱秋蓉</t>
    <phoneticPr fontId="2" type="noConversion"/>
  </si>
  <si>
    <t>沈心榆</t>
    <phoneticPr fontId="2" type="noConversion"/>
  </si>
  <si>
    <t>090/02/06</t>
    <phoneticPr fontId="2" type="noConversion"/>
  </si>
  <si>
    <t>115/05/18</t>
    <phoneticPr fontId="2" type="noConversion"/>
  </si>
  <si>
    <t>052/05/10</t>
    <phoneticPr fontId="2" type="noConversion"/>
  </si>
  <si>
    <t>115/04/20</t>
    <phoneticPr fontId="2" type="noConversion"/>
  </si>
  <si>
    <t>楊明珠</t>
    <phoneticPr fontId="3" type="noConversion"/>
  </si>
  <si>
    <t>049/12/24</t>
    <phoneticPr fontId="2" type="noConversion"/>
  </si>
  <si>
    <t>114/08/02</t>
    <phoneticPr fontId="2" type="noConversion"/>
  </si>
  <si>
    <t>謝雪梅</t>
    <phoneticPr fontId="3" type="noConversion"/>
  </si>
  <si>
    <t>廖銀隊</t>
    <phoneticPr fontId="3" type="noConversion"/>
  </si>
  <si>
    <t>曾月鳳</t>
    <phoneticPr fontId="3" type="noConversion"/>
  </si>
  <si>
    <t>王櫻桃</t>
    <phoneticPr fontId="2" type="noConversion"/>
  </si>
  <si>
    <t>胡秀茵</t>
    <phoneticPr fontId="3" type="noConversion"/>
  </si>
  <si>
    <t>呂宜珮</t>
    <phoneticPr fontId="2" type="noConversion"/>
  </si>
  <si>
    <t>泰氏青</t>
    <phoneticPr fontId="3" type="noConversion"/>
  </si>
  <si>
    <t>周氏秀華</t>
    <phoneticPr fontId="3" type="noConversion"/>
  </si>
  <si>
    <t>阮氏河</t>
    <phoneticPr fontId="3" type="noConversion"/>
  </si>
  <si>
    <t>裴氏燕</t>
    <phoneticPr fontId="2" type="noConversion"/>
  </si>
  <si>
    <t>武氏紅</t>
    <phoneticPr fontId="3" type="noConversion"/>
  </si>
  <si>
    <t>陳美紅</t>
    <phoneticPr fontId="2" type="noConversion"/>
  </si>
  <si>
    <t>K201187544</t>
    <phoneticPr fontId="2" type="noConversion"/>
  </si>
  <si>
    <t>044/06/06</t>
    <phoneticPr fontId="2" type="noConversion"/>
  </si>
  <si>
    <t>廖運谷</t>
    <phoneticPr fontId="2" type="noConversion"/>
  </si>
  <si>
    <t>H120465951</t>
    <phoneticPr fontId="2" type="noConversion"/>
  </si>
  <si>
    <t>055/08/16</t>
    <phoneticPr fontId="2" type="noConversion"/>
  </si>
  <si>
    <t>111/05/20</t>
    <phoneticPr fontId="2" type="noConversion"/>
  </si>
  <si>
    <t>復健治療師</t>
    <phoneticPr fontId="3" type="noConversion"/>
  </si>
  <si>
    <t>葉聖慈</t>
    <phoneticPr fontId="2" type="noConversion"/>
  </si>
  <si>
    <t>070/05/09</t>
    <phoneticPr fontId="2" type="noConversion"/>
  </si>
  <si>
    <t>112/06/20</t>
    <phoneticPr fontId="2" type="noConversion"/>
  </si>
  <si>
    <t>陽明居家護理</t>
    <phoneticPr fontId="2" type="noConversion"/>
  </si>
  <si>
    <t>邱燕鈴</t>
    <phoneticPr fontId="2" type="noConversion"/>
  </si>
  <si>
    <t>朱國大</t>
    <phoneticPr fontId="2" type="noConversion"/>
  </si>
  <si>
    <t>林文鴒</t>
    <phoneticPr fontId="2" type="noConversion"/>
  </si>
  <si>
    <t>翁嬿婷</t>
    <phoneticPr fontId="2" type="noConversion"/>
  </si>
  <si>
    <t>083/04/06</t>
    <phoneticPr fontId="2" type="noConversion"/>
  </si>
  <si>
    <t>D222656182</t>
    <phoneticPr fontId="2" type="noConversion"/>
  </si>
  <si>
    <t>J200511456</t>
    <phoneticPr fontId="3" type="noConversion"/>
  </si>
  <si>
    <t>P221224274</t>
    <phoneticPr fontId="3" type="noConversion"/>
  </si>
  <si>
    <t>T202240047</t>
    <phoneticPr fontId="3" type="noConversion"/>
  </si>
  <si>
    <t>H220174250</t>
    <phoneticPr fontId="2" type="noConversion"/>
  </si>
  <si>
    <t>H222486568</t>
    <phoneticPr fontId="2" type="noConversion"/>
  </si>
  <si>
    <t>F222405490</t>
    <phoneticPr fontId="3" type="noConversion"/>
  </si>
  <si>
    <t>N222862731</t>
    <phoneticPr fontId="2" type="noConversion"/>
  </si>
  <si>
    <t>U221198103</t>
    <phoneticPr fontId="3" type="noConversion"/>
  </si>
  <si>
    <t>P220651884</t>
    <phoneticPr fontId="2" type="noConversion"/>
  </si>
  <si>
    <t>H223067576</t>
    <phoneticPr fontId="2" type="noConversion"/>
  </si>
  <si>
    <t>J220827446</t>
    <phoneticPr fontId="2" type="noConversion"/>
  </si>
  <si>
    <t>H225293396</t>
    <phoneticPr fontId="2" type="noConversion"/>
  </si>
  <si>
    <t>H222344305</t>
    <phoneticPr fontId="3" type="noConversion"/>
  </si>
  <si>
    <t>E222806423</t>
    <phoneticPr fontId="2" type="noConversion"/>
  </si>
  <si>
    <t>0911-198348</t>
    <phoneticPr fontId="2" type="noConversion"/>
  </si>
  <si>
    <t>065/03/19</t>
    <phoneticPr fontId="2" type="noConversion"/>
  </si>
  <si>
    <t>053/03/10</t>
    <phoneticPr fontId="2" type="noConversion"/>
  </si>
  <si>
    <t>041/09/24</t>
    <phoneticPr fontId="2" type="noConversion"/>
  </si>
  <si>
    <t>050/08/20</t>
    <phoneticPr fontId="2" type="noConversion"/>
  </si>
  <si>
    <t>088/09/01</t>
    <phoneticPr fontId="2" type="noConversion"/>
  </si>
  <si>
    <t>044/08/11</t>
    <phoneticPr fontId="2" type="noConversion"/>
  </si>
  <si>
    <t>F900142514</t>
    <phoneticPr fontId="3" type="noConversion"/>
  </si>
  <si>
    <t>H900341699</t>
    <phoneticPr fontId="2" type="noConversion"/>
  </si>
  <si>
    <t>A900680694</t>
    <phoneticPr fontId="2" type="noConversion"/>
  </si>
  <si>
    <t>H901124085</t>
    <phoneticPr fontId="2" type="noConversion"/>
  </si>
  <si>
    <t>079/09/26</t>
    <phoneticPr fontId="2" type="noConversion"/>
  </si>
  <si>
    <t>115/05/07</t>
    <phoneticPr fontId="2" type="noConversion"/>
  </si>
  <si>
    <t>115/04/09</t>
    <phoneticPr fontId="2" type="noConversion"/>
  </si>
  <si>
    <t>086/04/14</t>
    <phoneticPr fontId="2" type="noConversion"/>
  </si>
  <si>
    <t>115/02/09</t>
    <phoneticPr fontId="2" type="noConversion"/>
  </si>
  <si>
    <t>115/01/19</t>
    <phoneticPr fontId="2" type="noConversion"/>
  </si>
  <si>
    <t>071/07/27</t>
    <phoneticPr fontId="2" type="noConversion"/>
  </si>
  <si>
    <t>阮氏花</t>
    <phoneticPr fontId="2" type="noConversion"/>
  </si>
  <si>
    <t>080/03/28</t>
    <phoneticPr fontId="2" type="noConversion"/>
  </si>
  <si>
    <t>115/02/06</t>
    <phoneticPr fontId="2" type="noConversion"/>
  </si>
  <si>
    <t>H900639069</t>
    <phoneticPr fontId="2" type="noConversion"/>
  </si>
  <si>
    <t>阮氏瓊</t>
    <phoneticPr fontId="2" type="noConversion"/>
  </si>
  <si>
    <t>081/10/03</t>
    <phoneticPr fontId="2" type="noConversion"/>
  </si>
  <si>
    <t>115/06/09</t>
    <phoneticPr fontId="2" type="noConversion"/>
  </si>
  <si>
    <t>F900438471</t>
    <phoneticPr fontId="2" type="noConversion"/>
  </si>
  <si>
    <t>陽明醫院附設護理之家員工名冊</t>
    <phoneticPr fontId="2" type="noConversion"/>
  </si>
  <si>
    <t>G120126655</t>
    <phoneticPr fontId="2" type="noConversion"/>
  </si>
  <si>
    <t>052/07/28</t>
    <phoneticPr fontId="2" type="noConversion"/>
  </si>
  <si>
    <t>阮氏雲</t>
    <phoneticPr fontId="2" type="noConversion"/>
  </si>
  <si>
    <t>P04260728</t>
    <phoneticPr fontId="2" type="noConversion"/>
  </si>
  <si>
    <t>女</t>
    <phoneticPr fontId="2" type="noConversion"/>
  </si>
  <si>
    <t>女</t>
    <phoneticPr fontId="2" type="noConversion"/>
  </si>
  <si>
    <t>079/02/06</t>
    <phoneticPr fontId="2" type="noConversion"/>
  </si>
  <si>
    <t>115/07/16</t>
    <phoneticPr fontId="2" type="noConversion"/>
  </si>
  <si>
    <t>製表日期：2026/08/11</t>
    <phoneticPr fontId="2" type="noConversion"/>
  </si>
  <si>
    <t>林玟亭</t>
    <phoneticPr fontId="2" type="noConversion"/>
  </si>
  <si>
    <t>A225551323</t>
    <phoneticPr fontId="2" type="noConversion"/>
  </si>
  <si>
    <t>070/06/13</t>
    <phoneticPr fontId="2" type="noConversion"/>
  </si>
  <si>
    <t>8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</si>
  <si>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</si>
  <si>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</si>
  <si>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</si>
  <si>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</si>
  <si>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</si>
  <si>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</si>
  <si>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</si>
  <si>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</si>
  <si>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</si>
  <si>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</si>
  <si>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</si>
  <si>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</si>
  <si>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</si>
  <si>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</si>
  <si>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</si>
  <si>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</si>
  <si>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</si>
  <si>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</si>
  <si>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林玟亭</t>
    <phoneticPr fontId="2" type="noConversion"/>
  </si>
  <si>
    <t>A225551323</t>
    <phoneticPr fontId="2" type="noConversion"/>
  </si>
  <si>
    <t>115/07/06</t>
    <phoneticPr fontId="2" type="noConversion"/>
  </si>
  <si>
    <t>0988-923884</t>
    <phoneticPr fontId="2" type="noConversion"/>
  </si>
  <si>
    <t>8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</si>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</sst>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76" formatCode="[$-404]e/mm/dd;@"/>
  </numFmts>
  <fonts count="1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3"/>
      <name val="新細明體"/>
      <family val="1"/>
      <charset val="136"/>
    </font>
    <font>
      <b/>
      <sz val="16"/>
      <name val="標楷體"/>
      <family val="4"/>
      <charset val="136"/>
    </font>
    <font>
      <sz val="11"/>
      <name val="標楷體"/>
      <family val="4"/>
      <charset val="136"/>
    </font>
    <font>
      <b/>
      <sz val="11"/>
      <name val="標楷體"/>
      <family val="4"/>
      <charset val="136"/>
    </font>
    <font>
      <sz val="11"/>
      <color theme="1"/>
      <name val="新細明體"/>
      <family val="2"/>
      <charset val="136"/>
      <scheme val="minor"/>
    </font>
    <font>
      <sz val="13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FA7D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</cellStyleXfs>
  <cellXfs count="8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quotePrefix="1" applyNumberFormat="1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14" fontId="9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/>
    <xf numFmtId="49" fontId="11" fillId="0" borderId="0" xfId="0" applyNumberFormat="1" applyFont="1" applyAlignment="1"/>
    <xf numFmtId="49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center"/>
    </xf>
    <xf numFmtId="176" fontId="5" fillId="0" borderId="4" xfId="0" quotePrefix="1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>
      <alignment vertical="center"/>
    </xf>
    <xf numFmtId="0" fontId="0" fillId="0" borderId="6" xfId="0" applyBorder="1">
      <alignment vertical="center"/>
    </xf>
    <xf numFmtId="4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0" xfId="0" applyFont="1" applyAlignment="1"/>
    <xf numFmtId="49" fontId="13" fillId="0" borderId="0" xfId="0" applyNumberFormat="1" applyFont="1" applyAlignment="1"/>
    <xf numFmtId="0" fontId="12" fillId="0" borderId="0" xfId="0" applyFont="1">
      <alignment vertical="center"/>
    </xf>
    <xf numFmtId="49" fontId="12" fillId="0" borderId="0" xfId="0" applyNumberFormat="1" applyFont="1">
      <alignment vertical="center"/>
    </xf>
    <xf numFmtId="9" fontId="6" fillId="0" borderId="0" xfId="1" applyFont="1" applyFill="1" applyAlignment="1">
      <alignment horizontal="right" vertical="center"/>
    </xf>
    <xf numFmtId="0" fontId="6" fillId="0" borderId="1" xfId="1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4" borderId="1" xfId="1" applyNumberFormat="1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left" vertical="center"/>
    </xf>
    <xf numFmtId="176" fontId="14" fillId="0" borderId="1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left" wrapText="1"/>
    </xf>
    <xf numFmtId="0" fontId="12" fillId="3" borderId="5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>
      <alignment vertical="center"/>
    </xf>
    <xf numFmtId="0" fontId="9" fillId="0" borderId="3" xfId="0" applyFont="1" applyBorder="1" applyAlignment="1">
      <alignment horizontal="left" wrapText="1"/>
    </xf>
    <xf numFmtId="0" fontId="9" fillId="0" borderId="3" xfId="0" applyFont="1" applyBorder="1" applyAlignment="1">
      <alignment horizontal="left"/>
    </xf>
    <xf numFmtId="176" fontId="6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3" xfId="0" applyFont="1" applyBorder="1" applyAlignment="1">
      <alignment wrapText="1"/>
    </xf>
    <xf numFmtId="0" fontId="9" fillId="0" borderId="3" xfId="0" applyFont="1" applyBorder="1" applyAlignment="1"/>
    <xf numFmtId="49" fontId="5" fillId="0" borderId="1" xfId="0" applyNumberFormat="1" applyFont="1" applyBorder="1" applyAlignment="1">
      <alignment horizontal="center" vertical="center" wrapText="1"/>
    </xf>
    <xf numFmtId="44" fontId="5" fillId="0" borderId="1" xfId="2" applyFont="1" applyBorder="1" applyAlignment="1">
      <alignment horizontal="center" vertical="center"/>
    </xf>
    <xf numFmtId="0" fontId="15" fillId="0" borderId="7" xfId="3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</cellXfs>
  <cellStyles count="4">
    <cellStyle name="一般" xfId="0" builtinId="0"/>
    <cellStyle name="百分比" xfId="1" builtinId="5"/>
    <cellStyle name="貨幣" xfId="2" builtinId="4"/>
    <cellStyle name="連結的儲存格" xfId="3" builtinId="24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1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31" sqref="Q31"/>
    </sheetView>
  </sheetViews>
  <sheetFormatPr defaultColWidth="9" defaultRowHeight="16.5"/>
  <cols>
    <col min="1" max="1" width="6.25" style="16" customWidth="1"/>
    <col min="2" max="2" width="7" style="16" customWidth="1"/>
    <col min="3" max="3" width="18.75" style="16" customWidth="1"/>
    <col min="4" max="4" width="10.125" style="16" customWidth="1"/>
    <col min="5" max="5" width="15.375" style="16" bestFit="1" customWidth="1"/>
    <col min="6" max="6" width="6.25" style="16" customWidth="1"/>
    <col min="7" max="7" width="12" style="16" customWidth="1"/>
    <col min="8" max="8" width="13.125" style="17" customWidth="1"/>
    <col min="9" max="9" width="28.5" style="17" hidden="1" customWidth="1"/>
    <col min="10" max="10" width="18.625" style="44" customWidth="1"/>
    <col min="11" max="11" width="15.25" style="44" customWidth="1"/>
    <col min="12" max="12" width="12" style="44" customWidth="1"/>
    <col min="13" max="13" width="5.25" style="17" customWidth="1"/>
    <col min="14" max="14" width="6.75" style="17" customWidth="1"/>
    <col min="15" max="15" width="6.375" style="16" customWidth="1"/>
    <col min="16" max="16" width="7.375" style="16" customWidth="1"/>
    <col min="17" max="17" width="5.75" style="16" customWidth="1"/>
    <col min="18" max="16384" width="9" style="16"/>
  </cols>
  <sheetData>
    <row r="1" spans="1:14" ht="23.65" customHeight="1">
      <c r="A1" s="78" t="s">
        <v>261</v>
      </c>
      <c r="B1" s="78"/>
      <c r="C1" s="78"/>
      <c r="D1" s="78"/>
      <c r="E1" s="78"/>
      <c r="F1" s="78"/>
      <c r="G1" s="78"/>
      <c r="H1" s="78"/>
      <c r="I1" s="72"/>
      <c r="J1" s="46"/>
    </row>
    <row r="2" spans="1:14" s="49" customFormat="1" ht="17.100000000000001" customHeight="1">
      <c r="A2" s="74" t="s">
        <v>155</v>
      </c>
      <c r="B2" s="73"/>
      <c r="C2" s="60">
        <v>46245</v>
      </c>
      <c r="D2" s="13"/>
      <c r="E2" s="13"/>
      <c r="F2" s="13"/>
      <c r="G2" s="13"/>
      <c r="H2" s="13"/>
      <c r="I2" s="13"/>
      <c r="J2" s="45" t="s">
        <v>238</v>
      </c>
      <c r="K2" s="45" t="s">
        <v>238</v>
      </c>
      <c r="L2" s="45" t="s">
        <v>238</v>
      </c>
      <c r="M2" s="48"/>
      <c r="N2" s="48"/>
    </row>
    <row r="3" spans="1:14" s="51" customFormat="1" ht="36" customHeight="1">
      <c r="A3" s="61" t="s">
        <v>0</v>
      </c>
      <c r="B3" s="61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0" t="s">
        <v>85</v>
      </c>
      <c r="I3" s="20" t="s">
        <v>86</v>
      </c>
      <c r="J3" s="20" t="s">
        <v>219</v>
      </c>
      <c r="K3" s="20" t="s">
        <v>220</v>
      </c>
      <c r="L3" s="20" t="s">
        <v>221</v>
      </c>
      <c r="M3" s="50"/>
      <c r="N3" s="50"/>
    </row>
    <row r="4" spans="1:14">
      <c r="A4" s="3" t="s">
        <v>7</v>
      </c>
      <c r="B4" s="3" t="s">
        <v>8</v>
      </c>
      <c r="C4" s="3" t="s">
        <v>156</v>
      </c>
      <c r="D4" s="6" t="s">
        <v>379</v>
      </c>
      <c r="E4" s="6" t="s">
        <v>380</v>
      </c>
      <c r="F4" s="3" t="s">
        <v>12</v>
      </c>
      <c r="G4" s="7">
        <v>700613</v>
      </c>
      <c r="H4" s="32" t="s">
        <v>381</v>
      </c>
      <c r="I4" s="9"/>
      <c r="J4" s="26" t="s">
        <v>382</v>
      </c>
      <c r="K4" s="53"/>
      <c r="L4" s="57"/>
      <c r="M4" s="54"/>
      <c r="N4" s="54"/>
    </row>
    <row r="5" spans="1:14">
      <c r="A5" s="3" t="s">
        <v>242</v>
      </c>
      <c r="B5" s="3" t="s">
        <v>8</v>
      </c>
      <c r="C5" s="3" t="s">
        <v>9</v>
      </c>
      <c r="D5" s="3" t="s">
        <v>262</v>
      </c>
      <c r="E5" s="3" t="s">
        <v>319</v>
      </c>
      <c r="F5" s="3" t="s">
        <v>12</v>
      </c>
      <c r="G5" s="7" t="s">
        <v>263</v>
      </c>
      <c r="H5" s="26">
        <v>31182</v>
      </c>
      <c r="I5" s="9"/>
      <c r="J5" s="26" t="s">
        <v>222</v>
      </c>
      <c r="K5" s="53"/>
      <c r="L5" s="53"/>
      <c r="M5" s="54"/>
      <c r="N5" s="54"/>
    </row>
    <row r="6" spans="1:14">
      <c r="A6" s="3" t="s">
        <v>243</v>
      </c>
      <c r="B6" s="3" t="s">
        <v>8</v>
      </c>
      <c r="C6" s="3" t="s">
        <v>9</v>
      </c>
      <c r="D6" s="3" t="s">
        <v>264</v>
      </c>
      <c r="E6" s="3" t="s">
        <v>320</v>
      </c>
      <c r="F6" s="3" t="s">
        <v>16</v>
      </c>
      <c r="G6" s="7" t="s">
        <v>265</v>
      </c>
      <c r="H6" s="26" t="s">
        <v>266</v>
      </c>
      <c r="I6" s="9"/>
      <c r="J6" s="26" t="s">
        <v>223</v>
      </c>
      <c r="K6" s="53"/>
      <c r="L6" s="53"/>
      <c r="M6" s="54"/>
      <c r="N6" s="54"/>
    </row>
    <row r="7" spans="1:14">
      <c r="A7" s="3" t="s">
        <v>244</v>
      </c>
      <c r="B7" s="3" t="s">
        <v>8</v>
      </c>
      <c r="C7" s="3" t="s">
        <v>9</v>
      </c>
      <c r="D7" s="3" t="s">
        <v>269</v>
      </c>
      <c r="E7" s="3" t="s">
        <v>317</v>
      </c>
      <c r="F7" s="3" t="s">
        <v>16</v>
      </c>
      <c r="G7" s="7" t="s">
        <v>273</v>
      </c>
      <c r="H7" s="26" t="s">
        <v>274</v>
      </c>
      <c r="I7" s="9"/>
      <c r="J7" s="32" t="s">
        <v>241</v>
      </c>
      <c r="K7" s="53"/>
      <c r="L7" s="53"/>
      <c r="M7" s="54"/>
      <c r="N7" s="54"/>
    </row>
    <row r="8" spans="1:14">
      <c r="A8" s="3" t="s">
        <v>245</v>
      </c>
      <c r="B8" s="3" t="s">
        <v>8</v>
      </c>
      <c r="C8" s="3" t="s">
        <v>9</v>
      </c>
      <c r="D8" s="3" t="s">
        <v>270</v>
      </c>
      <c r="E8" s="3" t="s">
        <v>318</v>
      </c>
      <c r="F8" s="3" t="s">
        <v>16</v>
      </c>
      <c r="G8" s="7" t="s">
        <v>271</v>
      </c>
      <c r="H8" s="26" t="s">
        <v>272</v>
      </c>
      <c r="I8" s="9"/>
      <c r="J8" s="32" t="s">
        <v>255</v>
      </c>
      <c r="K8" s="53"/>
      <c r="L8" s="53"/>
      <c r="M8" s="54"/>
      <c r="N8" s="54"/>
    </row>
    <row r="9" spans="1:14">
      <c r="A9" s="3" t="s">
        <v>207</v>
      </c>
      <c r="B9" s="3" t="s">
        <v>8</v>
      </c>
      <c r="C9" s="3" t="s">
        <v>9</v>
      </c>
      <c r="D9" s="3" t="s">
        <v>267</v>
      </c>
      <c r="E9" s="3" t="s">
        <v>316</v>
      </c>
      <c r="F9" s="3" t="s">
        <v>12</v>
      </c>
      <c r="G9" s="7" t="s">
        <v>268</v>
      </c>
      <c r="H9" s="26" t="s">
        <v>215</v>
      </c>
      <c r="I9" s="9"/>
      <c r="J9" s="26" t="s">
        <v>251</v>
      </c>
      <c r="K9" s="53"/>
      <c r="L9" s="58"/>
      <c r="M9" s="54"/>
      <c r="N9" s="54"/>
    </row>
    <row r="10" spans="1:14">
      <c r="A10" s="3" t="s">
        <v>193</v>
      </c>
      <c r="B10" s="3" t="s">
        <v>8</v>
      </c>
      <c r="C10" s="3" t="s">
        <v>60</v>
      </c>
      <c r="D10" s="3" t="s">
        <v>275</v>
      </c>
      <c r="E10" s="3" t="s">
        <v>312</v>
      </c>
      <c r="F10" s="3" t="s">
        <v>33</v>
      </c>
      <c r="G10" s="7" t="s">
        <v>276</v>
      </c>
      <c r="H10" s="7" t="s">
        <v>277</v>
      </c>
      <c r="I10" s="9"/>
      <c r="J10" s="26" t="s">
        <v>225</v>
      </c>
      <c r="K10" s="53"/>
      <c r="L10" s="53"/>
      <c r="M10" s="54"/>
      <c r="N10" s="54"/>
    </row>
    <row r="11" spans="1:14">
      <c r="A11" s="3" t="s">
        <v>383</v>
      </c>
      <c r="B11" s="3" t="s">
        <v>8</v>
      </c>
      <c r="C11" s="3" t="s">
        <v>202</v>
      </c>
      <c r="D11" s="3" t="s">
        <v>278</v>
      </c>
      <c r="E11" s="3" t="s">
        <v>309</v>
      </c>
      <c r="F11" s="3" t="s">
        <v>33</v>
      </c>
      <c r="G11" s="7" t="s">
        <v>327</v>
      </c>
      <c r="H11" s="7" t="s">
        <v>134</v>
      </c>
      <c r="I11" s="9"/>
      <c r="J11" s="26" t="s">
        <v>226</v>
      </c>
      <c r="K11" s="53"/>
      <c r="L11" s="53"/>
      <c r="M11" s="54"/>
      <c r="N11" s="54"/>
    </row>
    <row r="12" spans="1:14">
      <c r="A12" s="3" t="s">
        <v>195</v>
      </c>
      <c r="B12" s="3" t="s">
        <v>8</v>
      </c>
      <c r="C12" s="3" t="s">
        <v>202</v>
      </c>
      <c r="D12" s="3" t="s">
        <v>279</v>
      </c>
      <c r="E12" s="3" t="s">
        <v>308</v>
      </c>
      <c r="F12" s="3" t="s">
        <v>33</v>
      </c>
      <c r="G12" s="7" t="s">
        <v>325</v>
      </c>
      <c r="H12" s="7" t="s">
        <v>326</v>
      </c>
      <c r="I12" s="9" t="s">
        <v>260</v>
      </c>
      <c r="J12" s="26" t="s">
        <v>227</v>
      </c>
      <c r="K12" s="53"/>
      <c r="L12" s="53"/>
      <c r="M12" s="54"/>
      <c r="N12" s="54"/>
    </row>
    <row r="13" spans="1:14">
      <c r="A13" s="3" t="s">
        <v>361</v>
      </c>
      <c r="B13" s="3" t="s">
        <v>8</v>
      </c>
      <c r="C13" s="3" t="s">
        <v>202</v>
      </c>
      <c r="D13" s="3" t="s">
        <v>280</v>
      </c>
      <c r="E13" s="3" t="s">
        <v>307</v>
      </c>
      <c r="F13" s="3" t="s">
        <v>48</v>
      </c>
      <c r="G13" s="7" t="s">
        <v>324</v>
      </c>
      <c r="H13" s="7" t="s">
        <v>135</v>
      </c>
      <c r="I13" s="9"/>
      <c r="J13" s="26" t="s">
        <v>228</v>
      </c>
      <c r="K13" s="53"/>
      <c r="L13" s="53"/>
      <c r="M13" s="54"/>
      <c r="N13" s="54"/>
    </row>
    <row r="14" spans="1:14">
      <c r="A14" s="3" t="s">
        <v>384</v>
      </c>
      <c r="B14" s="3" t="s">
        <v>8</v>
      </c>
      <c r="C14" s="3" t="s">
        <v>202</v>
      </c>
      <c r="D14" s="3" t="s">
        <v>281</v>
      </c>
      <c r="E14" s="3" t="s">
        <v>315</v>
      </c>
      <c r="F14" s="3" t="s">
        <v>33</v>
      </c>
      <c r="G14" s="7" t="s">
        <v>323</v>
      </c>
      <c r="H14" s="26" t="s">
        <v>160</v>
      </c>
      <c r="I14" s="9"/>
      <c r="J14" s="26" t="s">
        <v>234</v>
      </c>
      <c r="K14" s="53"/>
      <c r="L14" s="53"/>
      <c r="M14" s="54"/>
      <c r="N14" s="54"/>
    </row>
    <row r="15" spans="1:14">
      <c r="A15" s="3" t="s">
        <v>385</v>
      </c>
      <c r="B15" s="3" t="s">
        <v>8</v>
      </c>
      <c r="C15" s="3" t="s">
        <v>202</v>
      </c>
      <c r="D15" s="3" t="s">
        <v>282</v>
      </c>
      <c r="E15" s="3" t="s">
        <v>314</v>
      </c>
      <c r="F15" s="3" t="s">
        <v>12</v>
      </c>
      <c r="G15" s="7" t="s">
        <v>107</v>
      </c>
      <c r="H15" s="26" t="s">
        <v>133</v>
      </c>
      <c r="I15" s="9"/>
      <c r="J15" s="26" t="s">
        <v>224</v>
      </c>
      <c r="K15" s="53"/>
      <c r="L15" s="53"/>
      <c r="M15" s="54"/>
      <c r="N15" s="54"/>
    </row>
    <row r="16" spans="1:14">
      <c r="A16" s="3" t="s">
        <v>386</v>
      </c>
      <c r="B16" s="3" t="s">
        <v>8</v>
      </c>
      <c r="C16" s="3" t="s">
        <v>202</v>
      </c>
      <c r="D16" s="3" t="s">
        <v>283</v>
      </c>
      <c r="E16" s="3" t="s">
        <v>313</v>
      </c>
      <c r="F16" s="3" t="s">
        <v>48</v>
      </c>
      <c r="G16" s="7" t="s">
        <v>322</v>
      </c>
      <c r="H16" s="26" t="s">
        <v>246</v>
      </c>
      <c r="I16" s="9"/>
      <c r="J16" s="26" t="s">
        <v>247</v>
      </c>
      <c r="K16" s="53"/>
      <c r="L16" s="53"/>
      <c r="M16" s="54"/>
      <c r="N16" s="54"/>
    </row>
    <row r="17" spans="1:14">
      <c r="A17" s="3" t="s">
        <v>365</v>
      </c>
      <c r="B17" s="3" t="s">
        <v>8</v>
      </c>
      <c r="C17" s="3" t="s">
        <v>203</v>
      </c>
      <c r="D17" s="3" t="s">
        <v>284</v>
      </c>
      <c r="E17" s="3" t="s">
        <v>254</v>
      </c>
      <c r="F17" s="3" t="s">
        <v>12</v>
      </c>
      <c r="G17" s="7" t="s">
        <v>100</v>
      </c>
      <c r="H17" s="7" t="s">
        <v>164</v>
      </c>
      <c r="I17" s="9"/>
      <c r="J17" s="26" t="s">
        <v>229</v>
      </c>
      <c r="K17" s="53"/>
      <c r="L17" s="53"/>
      <c r="M17" s="54"/>
      <c r="N17" s="54"/>
    </row>
    <row r="18" spans="1:14">
      <c r="A18" s="3" t="s">
        <v>387</v>
      </c>
      <c r="B18" s="3" t="s">
        <v>8</v>
      </c>
      <c r="C18" s="3" t="s">
        <v>203</v>
      </c>
      <c r="D18" s="3" t="s">
        <v>285</v>
      </c>
      <c r="E18" s="3" t="s">
        <v>328</v>
      </c>
      <c r="F18" s="3" t="s">
        <v>12</v>
      </c>
      <c r="G18" s="7" t="s">
        <v>338</v>
      </c>
      <c r="H18" s="7" t="s">
        <v>337</v>
      </c>
      <c r="I18" s="9"/>
      <c r="J18" s="26" t="s">
        <v>230</v>
      </c>
      <c r="K18" s="53"/>
      <c r="L18" s="53"/>
      <c r="M18" s="54"/>
      <c r="N18" s="54"/>
    </row>
    <row r="19" spans="1:14">
      <c r="A19" s="3" t="s">
        <v>388</v>
      </c>
      <c r="B19" s="3" t="s">
        <v>8</v>
      </c>
      <c r="C19" s="3" t="s">
        <v>203</v>
      </c>
      <c r="D19" s="3" t="s">
        <v>286</v>
      </c>
      <c r="E19" s="3" t="s">
        <v>329</v>
      </c>
      <c r="F19" s="3" t="s">
        <v>12</v>
      </c>
      <c r="G19" s="7" t="s">
        <v>104</v>
      </c>
      <c r="H19" s="7" t="s">
        <v>336</v>
      </c>
      <c r="I19" s="9"/>
      <c r="J19" s="26" t="s">
        <v>231</v>
      </c>
      <c r="K19" s="53"/>
      <c r="L19" s="53"/>
      <c r="M19" s="54"/>
      <c r="N19" s="54"/>
    </row>
    <row r="20" spans="1:14">
      <c r="A20" s="3" t="s">
        <v>389</v>
      </c>
      <c r="B20" s="3" t="s">
        <v>8</v>
      </c>
      <c r="C20" s="3" t="s">
        <v>203</v>
      </c>
      <c r="D20" s="3" t="s">
        <v>287</v>
      </c>
      <c r="E20" s="3" t="s">
        <v>330</v>
      </c>
      <c r="F20" s="3" t="s">
        <v>16</v>
      </c>
      <c r="G20" s="7" t="s">
        <v>335</v>
      </c>
      <c r="H20" s="7" t="s">
        <v>334</v>
      </c>
      <c r="I20" s="9"/>
      <c r="J20" s="26" t="s">
        <v>233</v>
      </c>
      <c r="K20" s="53"/>
      <c r="L20" s="53"/>
      <c r="M20" s="54"/>
      <c r="N20" s="54"/>
    </row>
    <row r="21" spans="1:14">
      <c r="A21" s="3" t="s">
        <v>390</v>
      </c>
      <c r="B21" s="3" t="s">
        <v>8</v>
      </c>
      <c r="C21" s="3" t="s">
        <v>203</v>
      </c>
      <c r="D21" s="3" t="s">
        <v>288</v>
      </c>
      <c r="E21" s="3" t="s">
        <v>331</v>
      </c>
      <c r="F21" s="3" t="s">
        <v>12</v>
      </c>
      <c r="G21" s="7" t="s">
        <v>332</v>
      </c>
      <c r="H21" s="7" t="s">
        <v>333</v>
      </c>
      <c r="I21" s="9"/>
      <c r="J21" s="26" t="s">
        <v>232</v>
      </c>
      <c r="K21" s="53"/>
      <c r="L21" s="58"/>
      <c r="M21" s="54"/>
      <c r="N21" s="54"/>
    </row>
    <row r="22" spans="1:14">
      <c r="A22" s="3" t="s">
        <v>391</v>
      </c>
      <c r="B22" s="3" t="s">
        <v>8</v>
      </c>
      <c r="C22" s="3" t="s">
        <v>203</v>
      </c>
      <c r="D22" s="3" t="s">
        <v>339</v>
      </c>
      <c r="E22" s="3" t="s">
        <v>342</v>
      </c>
      <c r="F22" s="3" t="s">
        <v>12</v>
      </c>
      <c r="G22" s="7" t="s">
        <v>340</v>
      </c>
      <c r="H22" s="7" t="s">
        <v>341</v>
      </c>
      <c r="I22" s="9"/>
      <c r="J22" s="26"/>
      <c r="K22" s="53"/>
      <c r="L22" s="58"/>
      <c r="M22" s="54"/>
      <c r="N22" s="54"/>
    </row>
    <row r="23" spans="1:14">
      <c r="A23" s="3" t="s">
        <v>248</v>
      </c>
      <c r="B23" s="3" t="s">
        <v>8</v>
      </c>
      <c r="C23" s="3" t="s">
        <v>203</v>
      </c>
      <c r="D23" s="3" t="s">
        <v>343</v>
      </c>
      <c r="E23" s="3" t="s">
        <v>346</v>
      </c>
      <c r="F23" s="3" t="s">
        <v>12</v>
      </c>
      <c r="G23" s="7" t="s">
        <v>344</v>
      </c>
      <c r="H23" s="7" t="s">
        <v>345</v>
      </c>
      <c r="I23" s="9"/>
      <c r="J23" s="26"/>
      <c r="K23" s="53"/>
      <c r="L23" s="58"/>
      <c r="M23" s="54"/>
      <c r="N23" s="54"/>
    </row>
    <row r="24" spans="1:14">
      <c r="A24" s="3" t="s">
        <v>392</v>
      </c>
      <c r="B24" s="3" t="s">
        <v>8</v>
      </c>
      <c r="C24" s="3" t="s">
        <v>203</v>
      </c>
      <c r="D24" s="3" t="s">
        <v>350</v>
      </c>
      <c r="E24" s="3" t="s">
        <v>351</v>
      </c>
      <c r="F24" s="3" t="s">
        <v>353</v>
      </c>
      <c r="G24" s="76" t="s">
        <v>354</v>
      </c>
      <c r="H24" s="7" t="s">
        <v>355</v>
      </c>
      <c r="I24" s="9"/>
      <c r="J24" s="26"/>
      <c r="K24" s="53"/>
      <c r="L24" s="58"/>
      <c r="M24" s="54"/>
      <c r="N24" s="54"/>
    </row>
    <row r="25" spans="1:14">
      <c r="A25" s="3" t="s">
        <v>393</v>
      </c>
      <c r="B25" s="3" t="s">
        <v>8</v>
      </c>
      <c r="C25" s="3" t="s">
        <v>64</v>
      </c>
      <c r="D25" s="3" t="s">
        <v>289</v>
      </c>
      <c r="E25" s="3" t="s">
        <v>290</v>
      </c>
      <c r="F25" s="3" t="s">
        <v>12</v>
      </c>
      <c r="G25" s="7" t="s">
        <v>291</v>
      </c>
      <c r="H25" s="7">
        <v>33832</v>
      </c>
      <c r="I25" s="9"/>
      <c r="J25" s="26" t="s">
        <v>235</v>
      </c>
      <c r="K25" s="53"/>
      <c r="L25" s="58"/>
      <c r="M25" s="54"/>
      <c r="N25" s="54"/>
    </row>
    <row r="26" spans="1:14">
      <c r="A26" s="3" t="s">
        <v>394</v>
      </c>
      <c r="B26" s="3" t="s">
        <v>8</v>
      </c>
      <c r="C26" s="3" t="s">
        <v>252</v>
      </c>
      <c r="D26" s="3" t="s">
        <v>292</v>
      </c>
      <c r="E26" s="3" t="s">
        <v>293</v>
      </c>
      <c r="F26" s="3" t="s">
        <v>63</v>
      </c>
      <c r="G26" s="7" t="s">
        <v>294</v>
      </c>
      <c r="H26" s="7" t="s">
        <v>295</v>
      </c>
      <c r="I26" s="9"/>
      <c r="J26" s="26" t="s">
        <v>256</v>
      </c>
      <c r="K26" s="53"/>
      <c r="L26" s="53"/>
      <c r="M26" s="54"/>
      <c r="N26" s="54"/>
    </row>
    <row r="27" spans="1:14">
      <c r="A27" s="3" t="s">
        <v>395</v>
      </c>
      <c r="B27" s="5" t="s">
        <v>87</v>
      </c>
      <c r="C27" s="3" t="s">
        <v>296</v>
      </c>
      <c r="D27" s="3" t="s">
        <v>297</v>
      </c>
      <c r="E27" s="3" t="s">
        <v>311</v>
      </c>
      <c r="F27" s="3" t="s">
        <v>33</v>
      </c>
      <c r="G27" s="7" t="s">
        <v>298</v>
      </c>
      <c r="H27" s="7" t="s">
        <v>299</v>
      </c>
      <c r="I27" s="9" t="s">
        <v>162</v>
      </c>
      <c r="J27" s="26" t="s">
        <v>257</v>
      </c>
      <c r="K27" s="53"/>
      <c r="L27" s="53"/>
      <c r="M27" s="54"/>
      <c r="N27" s="54"/>
    </row>
    <row r="28" spans="1:14">
      <c r="A28" s="3" t="s">
        <v>396</v>
      </c>
      <c r="B28" s="5" t="s">
        <v>87</v>
      </c>
      <c r="C28" s="21" t="s">
        <v>249</v>
      </c>
      <c r="D28" s="3" t="s">
        <v>302</v>
      </c>
      <c r="E28" s="3" t="s">
        <v>204</v>
      </c>
      <c r="F28" s="3" t="s">
        <v>63</v>
      </c>
      <c r="G28" s="7" t="s">
        <v>116</v>
      </c>
      <c r="H28" s="26" t="s">
        <v>158</v>
      </c>
      <c r="I28" s="9" t="s">
        <v>162</v>
      </c>
      <c r="J28" s="26" t="s">
        <v>237</v>
      </c>
      <c r="K28" s="53"/>
      <c r="L28" s="53"/>
      <c r="M28" s="54"/>
      <c r="N28" s="54"/>
    </row>
    <row r="29" spans="1:14">
      <c r="A29" s="3" t="s">
        <v>397</v>
      </c>
      <c r="B29" s="5" t="s">
        <v>87</v>
      </c>
      <c r="C29" s="21" t="s">
        <v>208</v>
      </c>
      <c r="D29" s="3" t="s">
        <v>303</v>
      </c>
      <c r="E29" s="3" t="s">
        <v>310</v>
      </c>
      <c r="F29" s="3" t="s">
        <v>63</v>
      </c>
      <c r="G29" s="7" t="s">
        <v>253</v>
      </c>
      <c r="H29" s="26" t="s">
        <v>240</v>
      </c>
      <c r="I29" s="9" t="s">
        <v>162</v>
      </c>
      <c r="J29" s="26"/>
      <c r="K29" s="53"/>
      <c r="L29" s="53"/>
      <c r="M29" s="54"/>
      <c r="N29" s="54"/>
    </row>
    <row r="30" spans="1:14">
      <c r="A30" s="23" t="s">
        <v>398</v>
      </c>
      <c r="B30" s="5" t="s">
        <v>87</v>
      </c>
      <c r="C30" s="5" t="s">
        <v>68</v>
      </c>
      <c r="D30" s="3" t="s">
        <v>304</v>
      </c>
      <c r="E30" s="3" t="s">
        <v>306</v>
      </c>
      <c r="F30" s="3" t="s">
        <v>33</v>
      </c>
      <c r="G30" s="8" t="s">
        <v>305</v>
      </c>
      <c r="H30" s="7" t="s">
        <v>141</v>
      </c>
      <c r="I30" s="9" t="s">
        <v>162</v>
      </c>
      <c r="J30" s="26" t="s">
        <v>321</v>
      </c>
      <c r="K30" s="53"/>
      <c r="L30" s="53"/>
      <c r="M30" s="54"/>
      <c r="N30" s="54"/>
    </row>
    <row r="31" spans="1:14">
      <c r="A31" s="3" t="s">
        <v>399</v>
      </c>
      <c r="B31" s="5" t="s">
        <v>87</v>
      </c>
      <c r="C31" s="5" t="s">
        <v>300</v>
      </c>
      <c r="D31" s="3" t="s">
        <v>301</v>
      </c>
      <c r="E31" s="21" t="s">
        <v>250</v>
      </c>
      <c r="F31" s="21" t="s">
        <v>16</v>
      </c>
      <c r="G31" s="33" t="s">
        <v>258</v>
      </c>
      <c r="H31" s="22" t="s">
        <v>259</v>
      </c>
      <c r="I31" s="9" t="s">
        <v>239</v>
      </c>
      <c r="J31" s="26" t="s">
        <v>236</v>
      </c>
      <c r="K31" s="53"/>
      <c r="L31" s="53"/>
      <c r="M31" s="54"/>
      <c r="N31" s="54"/>
    </row>
    <row r="32" spans="1:14">
      <c r="A32" s="3" t="s">
        <v>400</v>
      </c>
      <c r="B32" s="5"/>
      <c r="C32" s="5"/>
      <c r="D32" s="21"/>
      <c r="E32" s="21"/>
      <c r="F32" s="21"/>
      <c r="G32" s="33"/>
      <c r="H32" s="22"/>
      <c r="I32" s="9"/>
      <c r="J32" s="26"/>
      <c r="K32" s="53"/>
      <c r="L32" s="53"/>
      <c r="M32" s="54"/>
      <c r="N32" s="54"/>
    </row>
    <row r="33" spans="1:14">
      <c r="A33" s="3" t="s">
        <v>401</v>
      </c>
      <c r="B33" s="5"/>
      <c r="C33" s="5"/>
      <c r="D33" s="5"/>
      <c r="E33" s="47"/>
      <c r="F33" s="3"/>
      <c r="G33" s="26"/>
      <c r="H33" s="7"/>
      <c r="I33" s="9"/>
      <c r="J33" s="26"/>
      <c r="K33" s="53"/>
      <c r="L33" s="53"/>
      <c r="M33" s="54"/>
      <c r="N33" s="54"/>
    </row>
    <row r="34" spans="1:14">
      <c r="A34" s="23"/>
      <c r="B34" s="5"/>
      <c r="C34" s="5"/>
      <c r="D34" s="5"/>
      <c r="E34" s="3"/>
      <c r="F34" s="3"/>
      <c r="G34" s="7"/>
      <c r="H34" s="26"/>
      <c r="I34" s="9"/>
      <c r="J34" s="70"/>
      <c r="K34" s="53"/>
      <c r="L34" s="53"/>
      <c r="M34" s="54"/>
      <c r="N34" s="54"/>
    </row>
    <row r="35" spans="1:14">
      <c r="A35" s="23"/>
      <c r="B35" s="5"/>
      <c r="C35" s="5"/>
      <c r="D35" s="5"/>
      <c r="E35" s="3"/>
      <c r="F35" s="3"/>
      <c r="G35" s="7"/>
      <c r="H35" s="26"/>
      <c r="I35" s="9"/>
      <c r="J35" s="70"/>
      <c r="K35" s="53"/>
      <c r="L35" s="53"/>
      <c r="M35" s="54"/>
      <c r="N35" s="54"/>
    </row>
    <row r="36" spans="1:14" ht="9.4" customHeight="1">
      <c r="A36" s="62"/>
      <c r="B36" s="63"/>
      <c r="C36" s="63"/>
      <c r="D36" s="63"/>
      <c r="E36" s="64"/>
      <c r="F36" s="62"/>
      <c r="G36" s="65"/>
      <c r="H36" s="66"/>
      <c r="I36" s="67"/>
      <c r="J36" s="65"/>
      <c r="K36" s="56"/>
      <c r="L36" s="56"/>
      <c r="M36" s="54"/>
      <c r="N36" s="54"/>
    </row>
    <row r="37" spans="1:14" ht="15" customHeight="1">
      <c r="A37" s="3"/>
      <c r="B37" s="3"/>
      <c r="C37" s="3"/>
      <c r="D37" s="3"/>
      <c r="E37" s="3"/>
      <c r="F37" s="3"/>
      <c r="G37" s="7"/>
      <c r="H37" s="26"/>
      <c r="I37" s="59"/>
      <c r="J37" s="26"/>
      <c r="K37" s="53"/>
      <c r="L37" s="53"/>
      <c r="M37" s="54"/>
      <c r="N37" s="54"/>
    </row>
    <row r="38" spans="1:14" ht="15" customHeight="1">
      <c r="A38" s="3"/>
      <c r="B38" s="3"/>
      <c r="C38" s="3"/>
      <c r="D38" s="3"/>
      <c r="E38" s="3"/>
      <c r="F38" s="3"/>
      <c r="G38" s="7"/>
      <c r="H38" s="26"/>
      <c r="I38" s="59"/>
      <c r="J38" s="26"/>
      <c r="K38" s="53"/>
      <c r="L38" s="53"/>
      <c r="M38" s="54"/>
      <c r="N38" s="54"/>
    </row>
    <row r="39" spans="1:14" ht="15" customHeight="1">
      <c r="A39" s="3"/>
      <c r="B39" s="3"/>
      <c r="C39" s="3"/>
      <c r="D39" s="3"/>
      <c r="E39" s="3"/>
      <c r="F39" s="3"/>
      <c r="G39" s="7"/>
      <c r="H39" s="26"/>
      <c r="I39" s="26"/>
      <c r="J39" s="26"/>
      <c r="K39" s="53"/>
      <c r="L39" s="53"/>
      <c r="M39" s="54"/>
      <c r="N39" s="54"/>
    </row>
    <row r="40" spans="1:14">
      <c r="A40" s="3"/>
      <c r="B40" s="3"/>
      <c r="C40" s="3"/>
      <c r="D40" s="3"/>
      <c r="E40" s="3"/>
      <c r="F40" s="3"/>
      <c r="G40" s="7"/>
      <c r="H40" s="26"/>
      <c r="I40" s="26"/>
      <c r="J40" s="47"/>
      <c r="K40" s="53"/>
      <c r="L40" s="53"/>
    </row>
    <row r="41" spans="1:14">
      <c r="A41" s="3"/>
      <c r="B41" s="3"/>
      <c r="C41" s="3"/>
      <c r="D41" s="3"/>
      <c r="E41" s="3"/>
      <c r="F41" s="3"/>
      <c r="G41" s="7"/>
      <c r="H41" s="7"/>
      <c r="I41" s="7"/>
      <c r="J41" s="47"/>
      <c r="K41" s="53"/>
      <c r="L41" s="53"/>
    </row>
    <row r="42" spans="1:14">
      <c r="A42" s="3"/>
      <c r="B42" s="3"/>
      <c r="C42" s="3"/>
      <c r="D42" s="3"/>
      <c r="E42" s="3"/>
      <c r="F42" s="3"/>
      <c r="G42" s="7"/>
      <c r="H42" s="7"/>
      <c r="I42" s="7"/>
      <c r="J42" s="47"/>
      <c r="K42" s="53"/>
      <c r="L42" s="53"/>
    </row>
    <row r="43" spans="1:14">
      <c r="A43" s="3"/>
      <c r="B43" s="3"/>
      <c r="C43" s="3"/>
      <c r="D43" s="3"/>
      <c r="E43" s="3"/>
      <c r="F43" s="3"/>
      <c r="G43" s="7"/>
      <c r="H43" s="7"/>
      <c r="I43" s="7"/>
      <c r="J43" s="47"/>
      <c r="K43" s="53"/>
      <c r="L43" s="53"/>
    </row>
    <row r="44" spans="1:14" s="17" customFormat="1">
      <c r="A44" s="3"/>
      <c r="B44" s="3"/>
      <c r="C44" s="3"/>
      <c r="D44" s="3"/>
      <c r="E44" s="3"/>
      <c r="F44" s="3"/>
      <c r="G44" s="7"/>
      <c r="H44" s="7"/>
      <c r="I44" s="7"/>
      <c r="J44" s="55"/>
      <c r="K44" s="55"/>
      <c r="L44" s="55"/>
    </row>
    <row r="45" spans="1:14">
      <c r="A45" s="3"/>
      <c r="B45" s="3"/>
      <c r="C45" s="3"/>
      <c r="D45" s="3"/>
      <c r="E45" s="3"/>
      <c r="F45" s="3"/>
      <c r="G45" s="7"/>
      <c r="H45" s="7"/>
      <c r="I45" s="7"/>
      <c r="J45" s="47"/>
      <c r="K45" s="53"/>
      <c r="L45" s="53"/>
    </row>
    <row r="46" spans="1:14">
      <c r="A46" s="3"/>
      <c r="B46" s="3"/>
      <c r="C46" s="3"/>
      <c r="D46" s="3"/>
      <c r="E46" s="3"/>
      <c r="F46" s="3"/>
      <c r="G46" s="7"/>
      <c r="H46" s="7"/>
      <c r="I46" s="7"/>
      <c r="J46" s="47"/>
      <c r="K46" s="53"/>
      <c r="L46" s="53"/>
    </row>
    <row r="47" spans="1:14">
      <c r="A47" s="3"/>
      <c r="B47" s="3"/>
      <c r="C47" s="3"/>
      <c r="D47" s="3"/>
      <c r="E47" s="3"/>
      <c r="F47" s="3"/>
      <c r="G47" s="7"/>
      <c r="H47" s="7"/>
      <c r="I47" s="7"/>
      <c r="J47" s="47"/>
      <c r="K47" s="53"/>
      <c r="L47" s="53"/>
    </row>
    <row r="48" spans="1:14">
      <c r="A48" s="3"/>
      <c r="B48" s="3"/>
      <c r="C48" s="3"/>
      <c r="D48" s="3"/>
      <c r="E48" s="3"/>
      <c r="F48" s="3"/>
      <c r="G48" s="7"/>
      <c r="H48" s="7"/>
      <c r="I48" s="7"/>
      <c r="J48" s="47"/>
      <c r="K48" s="53"/>
      <c r="L48" s="53"/>
    </row>
    <row r="49" spans="1:12">
      <c r="A49" s="3"/>
      <c r="B49" s="3"/>
      <c r="C49" s="3"/>
      <c r="D49" s="3"/>
      <c r="E49" s="3"/>
      <c r="F49" s="3"/>
      <c r="G49" s="7"/>
      <c r="H49" s="7"/>
      <c r="I49" s="7"/>
      <c r="J49" s="47"/>
      <c r="K49" s="53"/>
      <c r="L49" s="53"/>
    </row>
    <row r="50" spans="1:12">
      <c r="A50" s="3"/>
      <c r="B50" s="3"/>
      <c r="C50" s="3"/>
      <c r="D50" s="3"/>
      <c r="E50" s="3"/>
      <c r="F50" s="3"/>
      <c r="G50" s="3"/>
      <c r="H50" s="3"/>
      <c r="I50" s="7"/>
      <c r="J50" s="47"/>
      <c r="K50" s="53"/>
      <c r="L50" s="53"/>
    </row>
    <row r="51" spans="1:12">
      <c r="A51" s="3"/>
      <c r="B51" s="3"/>
      <c r="C51" s="3"/>
      <c r="D51" s="3"/>
      <c r="E51" s="3"/>
      <c r="F51" s="3"/>
      <c r="G51" s="7"/>
      <c r="H51" s="7"/>
      <c r="I51" s="7"/>
      <c r="J51" s="47"/>
      <c r="K51" s="53"/>
      <c r="L51" s="53"/>
    </row>
    <row r="52" spans="1:12">
      <c r="A52" s="3"/>
      <c r="B52" s="3"/>
      <c r="C52" s="3"/>
      <c r="D52" s="3"/>
      <c r="E52" s="3"/>
      <c r="F52" s="3"/>
      <c r="G52" s="7"/>
      <c r="H52" s="7"/>
      <c r="I52" s="7"/>
      <c r="J52" s="47"/>
      <c r="K52" s="53"/>
      <c r="L52" s="53"/>
    </row>
    <row r="53" spans="1:12">
      <c r="A53" s="3"/>
      <c r="B53" s="3"/>
      <c r="C53" s="3"/>
      <c r="D53" s="3"/>
      <c r="E53" s="3"/>
      <c r="F53" s="3"/>
      <c r="G53" s="7"/>
      <c r="H53" s="7"/>
      <c r="I53" s="7"/>
      <c r="J53" s="47"/>
      <c r="K53" s="53"/>
      <c r="L53" s="53"/>
    </row>
    <row r="54" spans="1:12">
      <c r="A54" s="3"/>
      <c r="B54" s="3"/>
      <c r="C54" s="3"/>
      <c r="D54" s="3"/>
      <c r="E54" s="3"/>
      <c r="F54" s="3"/>
      <c r="G54" s="7"/>
      <c r="H54" s="7"/>
      <c r="I54" s="7"/>
      <c r="J54" s="47"/>
      <c r="K54" s="53"/>
      <c r="L54" s="53"/>
    </row>
    <row r="55" spans="1:12">
      <c r="A55" s="3"/>
      <c r="B55" s="3"/>
      <c r="C55" s="3"/>
      <c r="D55" s="3"/>
      <c r="E55" s="3"/>
      <c r="F55" s="3"/>
      <c r="G55" s="7"/>
      <c r="H55" s="3"/>
      <c r="I55" s="7"/>
      <c r="J55" s="47"/>
      <c r="K55" s="53"/>
      <c r="L55" s="53"/>
    </row>
    <row r="56" spans="1:12">
      <c r="A56" s="3"/>
      <c r="B56" s="3"/>
      <c r="C56" s="3"/>
      <c r="D56" s="3"/>
      <c r="E56" s="3"/>
      <c r="F56" s="3"/>
      <c r="G56" s="7"/>
      <c r="H56" s="7"/>
      <c r="I56" s="7"/>
      <c r="J56" s="47"/>
      <c r="K56" s="53"/>
      <c r="L56" s="53"/>
    </row>
    <row r="57" spans="1:12">
      <c r="A57" s="3"/>
      <c r="B57" s="3"/>
      <c r="C57" s="3"/>
      <c r="D57" s="3"/>
      <c r="E57" s="3"/>
      <c r="F57" s="3"/>
      <c r="G57" s="7"/>
      <c r="H57" s="26"/>
      <c r="I57" s="59"/>
      <c r="J57" s="26"/>
      <c r="K57" s="53"/>
      <c r="L57" s="53"/>
    </row>
    <row r="58" spans="1:12">
      <c r="A58" s="5"/>
      <c r="B58" s="5"/>
      <c r="C58" s="3"/>
      <c r="D58" s="5"/>
      <c r="E58" s="5"/>
      <c r="F58" s="5"/>
      <c r="G58" s="26"/>
      <c r="H58" s="26"/>
      <c r="I58" s="26"/>
      <c r="J58" s="47"/>
      <c r="K58" s="53"/>
      <c r="L58" s="53"/>
    </row>
    <row r="59" spans="1:12">
      <c r="A59" s="3"/>
      <c r="B59" s="3"/>
      <c r="C59" s="3"/>
      <c r="D59" s="3"/>
      <c r="E59" s="3"/>
      <c r="F59" s="3"/>
      <c r="G59" s="7"/>
      <c r="H59" s="7"/>
      <c r="I59" s="7"/>
      <c r="J59" s="47"/>
      <c r="K59" s="53"/>
      <c r="L59" s="53"/>
    </row>
    <row r="60" spans="1:12">
      <c r="A60" s="3"/>
      <c r="B60" s="3"/>
      <c r="C60" s="3"/>
      <c r="D60" s="3"/>
      <c r="E60" s="3"/>
      <c r="F60" s="3"/>
      <c r="G60" s="7"/>
      <c r="H60" s="7"/>
      <c r="I60" s="7"/>
      <c r="J60" s="47"/>
      <c r="K60" s="53"/>
      <c r="L60" s="53"/>
    </row>
    <row r="61" spans="1:12">
      <c r="A61" s="5"/>
      <c r="B61" s="5"/>
      <c r="C61" s="3"/>
      <c r="D61" s="5"/>
      <c r="E61" s="5"/>
      <c r="F61" s="5"/>
      <c r="G61" s="26"/>
      <c r="H61" s="26"/>
      <c r="I61" s="32"/>
      <c r="J61" s="47"/>
      <c r="K61" s="53"/>
      <c r="L61" s="53"/>
    </row>
    <row r="62" spans="1:12">
      <c r="A62" s="3"/>
      <c r="B62" s="3"/>
      <c r="C62" s="3"/>
      <c r="D62" s="3"/>
      <c r="E62" s="3"/>
      <c r="F62" s="3"/>
      <c r="G62" s="7"/>
      <c r="H62" s="7"/>
      <c r="I62" s="7"/>
      <c r="J62" s="47"/>
      <c r="K62" s="53"/>
      <c r="L62" s="53"/>
    </row>
    <row r="63" spans="1:12">
      <c r="A63" s="3"/>
      <c r="B63" s="3"/>
      <c r="C63" s="3"/>
      <c r="D63" s="3"/>
      <c r="E63" s="3"/>
      <c r="F63" s="3"/>
      <c r="G63" s="7"/>
      <c r="H63" s="7"/>
      <c r="I63" s="7"/>
      <c r="J63" s="47"/>
      <c r="K63" s="53"/>
      <c r="L63" s="53"/>
    </row>
    <row r="64" spans="1:12">
      <c r="A64" s="3"/>
      <c r="B64" s="3"/>
      <c r="C64" s="3"/>
      <c r="D64" s="3"/>
      <c r="E64" s="3"/>
      <c r="F64" s="3"/>
      <c r="G64" s="7"/>
      <c r="H64" s="7"/>
      <c r="I64" s="7"/>
      <c r="J64" s="47"/>
      <c r="K64" s="53"/>
      <c r="L64" s="53"/>
    </row>
    <row r="65" spans="1:12">
      <c r="A65" s="3"/>
      <c r="B65" s="3"/>
      <c r="C65" s="3"/>
      <c r="D65" s="3"/>
      <c r="E65" s="3"/>
      <c r="F65" s="3"/>
      <c r="G65" s="7"/>
      <c r="H65" s="7"/>
      <c r="I65" s="7"/>
      <c r="J65" s="47"/>
      <c r="K65" s="53"/>
      <c r="L65" s="53"/>
    </row>
    <row r="66" spans="1:12">
      <c r="A66" s="3"/>
      <c r="B66" s="3"/>
      <c r="C66" s="3"/>
      <c r="D66" s="3"/>
      <c r="E66" s="3"/>
      <c r="F66" s="3"/>
      <c r="G66" s="7"/>
      <c r="H66" s="7"/>
      <c r="I66" s="7"/>
      <c r="J66" s="47"/>
      <c r="K66" s="53"/>
      <c r="L66" s="53"/>
    </row>
    <row r="67" spans="1:12">
      <c r="A67" s="3"/>
      <c r="B67" s="3"/>
      <c r="C67" s="3"/>
      <c r="D67" s="3"/>
      <c r="E67" s="3"/>
      <c r="F67" s="3"/>
      <c r="G67" s="7"/>
      <c r="H67" s="7"/>
      <c r="I67" s="7"/>
      <c r="J67" s="47"/>
      <c r="K67" s="53"/>
      <c r="L67" s="53"/>
    </row>
    <row r="68" spans="1:12">
      <c r="A68" s="3"/>
      <c r="B68" s="3"/>
      <c r="C68" s="3"/>
      <c r="D68" s="3"/>
      <c r="E68" s="3"/>
      <c r="F68" s="3"/>
      <c r="G68" s="7"/>
      <c r="H68" s="7"/>
      <c r="I68" s="7"/>
      <c r="J68" s="47"/>
      <c r="K68" s="53"/>
      <c r="L68" s="53"/>
    </row>
    <row r="69" spans="1:12">
      <c r="A69" s="3"/>
      <c r="B69" s="3"/>
      <c r="C69" s="3"/>
      <c r="D69" s="3"/>
      <c r="E69" s="3"/>
      <c r="F69" s="3"/>
      <c r="G69" s="3"/>
      <c r="H69" s="3"/>
      <c r="I69" s="7"/>
      <c r="J69" s="47"/>
      <c r="K69" s="53"/>
      <c r="L69" s="53"/>
    </row>
    <row r="70" spans="1:12">
      <c r="A70" s="3"/>
      <c r="B70" s="3"/>
      <c r="C70" s="3"/>
      <c r="D70" s="3"/>
      <c r="E70" s="3"/>
      <c r="F70" s="3"/>
      <c r="G70" s="3"/>
      <c r="H70" s="3"/>
      <c r="I70" s="7"/>
      <c r="J70" s="47"/>
      <c r="K70" s="53"/>
      <c r="L70" s="53"/>
    </row>
    <row r="71" spans="1:12">
      <c r="A71" s="23"/>
      <c r="B71" s="23"/>
      <c r="C71" s="3"/>
      <c r="D71" s="23"/>
      <c r="E71" s="3"/>
      <c r="F71" s="3"/>
      <c r="G71" s="25"/>
      <c r="H71" s="25"/>
      <c r="I71" s="25"/>
      <c r="J71" s="47"/>
      <c r="K71" s="53"/>
      <c r="L71" s="53"/>
    </row>
    <row r="72" spans="1:12">
      <c r="A72" s="23"/>
      <c r="B72" s="23"/>
      <c r="C72" s="3"/>
      <c r="D72" s="3"/>
      <c r="E72" s="3"/>
      <c r="F72" s="3"/>
      <c r="G72" s="7"/>
      <c r="H72" s="7"/>
      <c r="I72" s="25"/>
      <c r="J72" s="47"/>
      <c r="K72" s="53"/>
      <c r="L72" s="53"/>
    </row>
    <row r="73" spans="1:12">
      <c r="A73" s="23"/>
      <c r="B73" s="23"/>
      <c r="C73" s="3"/>
      <c r="D73" s="23"/>
      <c r="E73" s="3"/>
      <c r="F73" s="3"/>
      <c r="G73" s="25"/>
      <c r="H73" s="25"/>
      <c r="I73" s="25"/>
      <c r="J73" s="47"/>
      <c r="K73" s="53"/>
      <c r="L73" s="53"/>
    </row>
    <row r="74" spans="1:12">
      <c r="A74" s="5"/>
      <c r="B74" s="3"/>
      <c r="C74" s="3"/>
      <c r="D74" s="3"/>
      <c r="E74" s="3"/>
      <c r="F74" s="3"/>
      <c r="G74" s="7"/>
      <c r="H74" s="7"/>
      <c r="I74" s="25"/>
      <c r="J74" s="47"/>
      <c r="K74" s="53"/>
      <c r="L74" s="53"/>
    </row>
    <row r="75" spans="1:12" s="17" customFormat="1">
      <c r="A75" s="5"/>
      <c r="B75" s="5"/>
      <c r="C75" s="3"/>
      <c r="D75" s="5"/>
      <c r="E75" s="5"/>
      <c r="F75" s="5"/>
      <c r="G75" s="26"/>
      <c r="H75" s="26"/>
      <c r="I75" s="32"/>
      <c r="J75" s="55"/>
      <c r="K75" s="55"/>
      <c r="L75" s="55"/>
    </row>
    <row r="76" spans="1:12" s="17" customFormat="1">
      <c r="A76" s="3"/>
      <c r="B76" s="3"/>
      <c r="C76" s="3"/>
      <c r="D76" s="3"/>
      <c r="E76" s="3"/>
      <c r="F76" s="3"/>
      <c r="G76" s="7"/>
      <c r="H76" s="7"/>
      <c r="I76" s="7"/>
      <c r="J76" s="55"/>
      <c r="K76" s="55"/>
      <c r="L76" s="55"/>
    </row>
    <row r="77" spans="1:12" s="17" customFormat="1">
      <c r="A77" s="3"/>
      <c r="B77" s="3"/>
      <c r="C77" s="3"/>
      <c r="D77" s="3"/>
      <c r="E77" s="3"/>
      <c r="F77" s="3"/>
      <c r="G77" s="7"/>
      <c r="H77" s="7"/>
      <c r="I77" s="7"/>
      <c r="J77" s="55"/>
      <c r="K77" s="55"/>
      <c r="L77" s="55"/>
    </row>
    <row r="78" spans="1:12" s="17" customFormat="1">
      <c r="A78" s="3"/>
      <c r="B78" s="3"/>
      <c r="C78" s="3"/>
      <c r="D78" s="3"/>
      <c r="E78" s="3"/>
      <c r="F78" s="3"/>
      <c r="G78" s="7"/>
      <c r="H78" s="7"/>
      <c r="I78" s="7"/>
      <c r="J78" s="55"/>
      <c r="K78" s="55"/>
      <c r="L78" s="55"/>
    </row>
    <row r="79" spans="1:12" s="17" customFormat="1">
      <c r="A79" s="3"/>
      <c r="B79" s="3"/>
      <c r="C79" s="3"/>
      <c r="D79" s="3"/>
      <c r="E79" s="3"/>
      <c r="F79" s="3"/>
      <c r="G79" s="7"/>
      <c r="H79" s="7"/>
      <c r="I79" s="7"/>
      <c r="J79" s="55"/>
      <c r="K79" s="55"/>
      <c r="L79" s="55"/>
    </row>
    <row r="80" spans="1:12" s="17" customFormat="1">
      <c r="A80" s="3"/>
      <c r="B80" s="3"/>
      <c r="C80" s="3"/>
      <c r="D80" s="3"/>
      <c r="E80" s="3"/>
      <c r="F80" s="3"/>
      <c r="G80" s="7"/>
      <c r="H80" s="7"/>
      <c r="I80" s="7"/>
      <c r="J80" s="55"/>
      <c r="K80" s="55"/>
      <c r="L80" s="55"/>
    </row>
    <row r="81" spans="1:12" s="17" customFormat="1">
      <c r="A81" s="3"/>
      <c r="B81" s="3"/>
      <c r="C81" s="3"/>
      <c r="D81" s="3"/>
      <c r="E81" s="3"/>
      <c r="F81" s="3"/>
      <c r="G81" s="7"/>
      <c r="H81" s="7"/>
      <c r="I81" s="7"/>
      <c r="J81" s="55"/>
      <c r="K81" s="55"/>
      <c r="L81" s="55"/>
    </row>
    <row r="82" spans="1:12" s="17" customFormat="1">
      <c r="A82" s="3"/>
      <c r="B82" s="3"/>
      <c r="C82" s="3"/>
      <c r="D82" s="3"/>
      <c r="E82" s="3"/>
      <c r="F82" s="3"/>
      <c r="G82" s="7"/>
      <c r="H82" s="7"/>
      <c r="I82" s="7"/>
      <c r="J82" s="55"/>
      <c r="K82" s="55"/>
      <c r="L82" s="55"/>
    </row>
    <row r="83" spans="1:12" s="17" customFormat="1">
      <c r="A83" s="3"/>
      <c r="B83" s="3"/>
      <c r="C83" s="3"/>
      <c r="D83" s="3"/>
      <c r="E83" s="3"/>
      <c r="F83" s="3"/>
      <c r="G83" s="7"/>
      <c r="H83" s="7"/>
      <c r="I83" s="7"/>
      <c r="J83" s="55"/>
      <c r="K83" s="55"/>
      <c r="L83" s="55"/>
    </row>
    <row r="84" spans="1:12" s="17" customFormat="1">
      <c r="A84" s="3"/>
      <c r="B84" s="3"/>
      <c r="C84" s="3"/>
      <c r="D84" s="3"/>
      <c r="E84" s="3"/>
      <c r="F84" s="3"/>
      <c r="G84" s="7"/>
      <c r="H84" s="7"/>
      <c r="I84" s="7"/>
      <c r="J84" s="55"/>
      <c r="K84" s="55"/>
      <c r="L84" s="55"/>
    </row>
    <row r="85" spans="1:12" s="17" customFormat="1">
      <c r="A85" s="3"/>
      <c r="B85" s="3"/>
      <c r="C85" s="3"/>
      <c r="D85" s="3"/>
      <c r="E85" s="3"/>
      <c r="F85" s="3"/>
      <c r="G85" s="7"/>
      <c r="H85" s="7"/>
      <c r="I85" s="7"/>
      <c r="J85" s="55"/>
      <c r="K85" s="55"/>
      <c r="L85" s="55"/>
    </row>
    <row r="86" spans="1:12" s="17" customFormat="1">
      <c r="A86" s="3"/>
      <c r="B86" s="3"/>
      <c r="C86" s="3"/>
      <c r="D86" s="3"/>
      <c r="E86" s="3"/>
      <c r="F86" s="3"/>
      <c r="G86" s="7"/>
      <c r="H86" s="7"/>
      <c r="I86" s="7"/>
      <c r="J86" s="55"/>
      <c r="K86" s="55"/>
      <c r="L86" s="55"/>
    </row>
    <row r="87" spans="1:12" s="17" customFormat="1">
      <c r="A87" s="3"/>
      <c r="B87" s="3"/>
      <c r="C87" s="3"/>
      <c r="D87" s="3"/>
      <c r="E87" s="3"/>
      <c r="F87" s="3"/>
      <c r="G87" s="7"/>
      <c r="H87" s="7"/>
      <c r="I87" s="7"/>
      <c r="J87" s="55"/>
      <c r="K87" s="55"/>
      <c r="L87" s="55"/>
    </row>
    <row r="88" spans="1:12" s="17" customFormat="1">
      <c r="A88" s="3"/>
      <c r="B88" s="3"/>
      <c r="C88" s="3"/>
      <c r="D88" s="3"/>
      <c r="E88" s="3"/>
      <c r="F88" s="3"/>
      <c r="G88" s="7"/>
      <c r="H88" s="7"/>
      <c r="I88" s="7"/>
      <c r="J88" s="55"/>
      <c r="K88" s="55"/>
      <c r="L88" s="55"/>
    </row>
    <row r="89" spans="1:12" s="17" customFormat="1">
      <c r="A89" s="5"/>
      <c r="B89" s="5"/>
      <c r="C89" s="5"/>
      <c r="D89" s="5"/>
      <c r="E89" s="5"/>
      <c r="F89" s="5"/>
      <c r="G89" s="26"/>
      <c r="H89" s="26"/>
      <c r="I89" s="26"/>
      <c r="J89" s="55"/>
      <c r="K89" s="55"/>
      <c r="L89" s="55"/>
    </row>
    <row r="90" spans="1:12" s="17" customFormat="1">
      <c r="A90" s="3"/>
      <c r="B90" s="3"/>
      <c r="C90" s="3"/>
      <c r="D90" s="3"/>
      <c r="E90" s="3"/>
      <c r="F90" s="3"/>
      <c r="G90" s="7"/>
      <c r="H90" s="7"/>
      <c r="I90" s="7"/>
      <c r="J90" s="55"/>
      <c r="K90" s="55"/>
      <c r="L90" s="55"/>
    </row>
    <row r="91" spans="1:12" s="17" customFormat="1">
      <c r="A91" s="3"/>
      <c r="B91" s="3"/>
      <c r="C91" s="3"/>
      <c r="D91" s="3"/>
      <c r="E91" s="3"/>
      <c r="F91" s="3"/>
      <c r="G91" s="3"/>
      <c r="H91" s="3"/>
      <c r="I91" s="7"/>
      <c r="J91" s="55"/>
      <c r="K91" s="55"/>
      <c r="L91" s="55"/>
    </row>
    <row r="92" spans="1:12" s="17" customFormat="1">
      <c r="A92" s="3"/>
      <c r="B92" s="5"/>
      <c r="C92" s="5"/>
      <c r="D92" s="5"/>
      <c r="E92" s="47"/>
      <c r="F92" s="3"/>
      <c r="G92" s="26"/>
      <c r="H92" s="7"/>
      <c r="I92" s="26"/>
      <c r="J92" s="55"/>
      <c r="K92" s="55"/>
      <c r="L92" s="55"/>
    </row>
    <row r="93" spans="1:12" s="17" customFormat="1">
      <c r="A93" s="5"/>
      <c r="B93" s="5"/>
      <c r="C93" s="3"/>
      <c r="D93" s="71"/>
      <c r="E93" s="71"/>
      <c r="F93" s="71"/>
      <c r="G93" s="70"/>
      <c r="H93" s="70"/>
      <c r="I93" s="70"/>
      <c r="J93" s="55"/>
      <c r="K93" s="55"/>
      <c r="L93" s="55"/>
    </row>
    <row r="94" spans="1:12" s="17" customFormat="1">
      <c r="A94" s="3"/>
      <c r="B94" s="3"/>
      <c r="C94" s="3"/>
      <c r="D94" s="3"/>
      <c r="E94" s="3"/>
      <c r="F94" s="3"/>
      <c r="G94" s="7"/>
      <c r="H94" s="7"/>
      <c r="I94" s="7"/>
      <c r="J94" s="55"/>
      <c r="K94" s="55"/>
      <c r="L94" s="55"/>
    </row>
    <row r="95" spans="1:12" s="17" customFormat="1">
      <c r="A95" s="3"/>
      <c r="B95" s="3"/>
      <c r="C95" s="3"/>
      <c r="D95" s="3"/>
      <c r="E95" s="3"/>
      <c r="F95" s="3"/>
      <c r="G95" s="7"/>
      <c r="H95" s="7"/>
      <c r="I95" s="7"/>
      <c r="J95" s="55"/>
      <c r="K95" s="55"/>
      <c r="L95" s="55"/>
    </row>
    <row r="96" spans="1:12" s="17" customFormat="1">
      <c r="A96" s="3"/>
      <c r="B96" s="3"/>
      <c r="C96" s="3"/>
      <c r="D96" s="3"/>
      <c r="E96" s="3"/>
      <c r="F96" s="3"/>
      <c r="G96" s="3"/>
      <c r="H96" s="3"/>
      <c r="I96" s="7"/>
      <c r="J96" s="55"/>
      <c r="K96" s="55"/>
      <c r="L96" s="55"/>
    </row>
    <row r="97" spans="1:12" s="17" customFormat="1">
      <c r="A97" s="3"/>
      <c r="B97" s="3"/>
      <c r="C97" s="3"/>
      <c r="D97" s="3"/>
      <c r="E97" s="3"/>
      <c r="F97" s="3"/>
      <c r="G97" s="7"/>
      <c r="H97" s="7"/>
      <c r="I97" s="7"/>
      <c r="J97" s="55"/>
      <c r="K97" s="55"/>
      <c r="L97" s="55"/>
    </row>
    <row r="98" spans="1:12" s="17" customFormat="1">
      <c r="A98" s="3"/>
      <c r="B98" s="5"/>
      <c r="C98" s="5"/>
      <c r="D98" s="5"/>
      <c r="E98" s="47"/>
      <c r="F98" s="3"/>
      <c r="G98" s="26"/>
      <c r="H98" s="7"/>
      <c r="I98" s="26"/>
      <c r="J98" s="26"/>
      <c r="K98" s="55"/>
      <c r="L98" s="55"/>
    </row>
    <row r="99" spans="1:12" s="17" customFormat="1">
      <c r="A99" s="3"/>
      <c r="B99" s="3"/>
      <c r="C99" s="3"/>
      <c r="D99" s="3"/>
      <c r="E99" s="3"/>
      <c r="F99" s="3"/>
      <c r="G99" s="7"/>
      <c r="H99" s="7"/>
      <c r="I99" s="7"/>
      <c r="J99" s="55"/>
      <c r="K99" s="55"/>
      <c r="L99" s="55"/>
    </row>
    <row r="100" spans="1:12" s="17" customFormat="1">
      <c r="A100" s="3"/>
      <c r="B100" s="3"/>
      <c r="C100" s="3"/>
      <c r="D100" s="3"/>
      <c r="E100" s="3"/>
      <c r="F100" s="3"/>
      <c r="G100" s="7"/>
      <c r="H100" s="7"/>
      <c r="I100" s="7"/>
      <c r="J100" s="55"/>
      <c r="K100" s="55"/>
      <c r="L100" s="55"/>
    </row>
    <row r="101" spans="1:12" s="17" customFormat="1">
      <c r="A101" s="3"/>
      <c r="B101" s="3"/>
      <c r="C101" s="3"/>
      <c r="D101" s="3"/>
      <c r="E101" s="3"/>
      <c r="F101" s="3"/>
      <c r="G101" s="7"/>
      <c r="H101" s="7"/>
      <c r="I101" s="7"/>
      <c r="J101" s="55"/>
      <c r="K101" s="55"/>
      <c r="L101" s="55"/>
    </row>
    <row r="102" spans="1:12" s="17" customFormat="1">
      <c r="A102" s="3"/>
      <c r="B102" s="3"/>
      <c r="C102" s="3"/>
      <c r="D102" s="3"/>
      <c r="E102" s="3"/>
      <c r="F102" s="3"/>
      <c r="G102" s="7"/>
      <c r="H102" s="7"/>
      <c r="I102" s="7"/>
      <c r="J102" s="55"/>
      <c r="K102" s="55"/>
      <c r="L102" s="55"/>
    </row>
    <row r="103" spans="1:12" s="17" customFormat="1">
      <c r="A103" s="3"/>
      <c r="B103" s="3"/>
      <c r="C103" s="3"/>
      <c r="D103" s="3"/>
      <c r="E103" s="3"/>
      <c r="F103" s="3"/>
      <c r="G103" s="7"/>
      <c r="H103" s="7"/>
      <c r="I103" s="7"/>
      <c r="J103" s="55"/>
      <c r="K103" s="55"/>
      <c r="L103" s="55"/>
    </row>
    <row r="104" spans="1:12" s="17" customFormat="1">
      <c r="A104" s="5"/>
      <c r="B104" s="5"/>
      <c r="C104" s="5"/>
      <c r="D104" s="5"/>
      <c r="E104" s="5"/>
      <c r="F104" s="5"/>
      <c r="G104" s="26"/>
      <c r="H104" s="26"/>
      <c r="I104" s="26"/>
      <c r="J104" s="55"/>
      <c r="K104" s="55"/>
      <c r="L104" s="55"/>
    </row>
    <row r="105" spans="1:12" s="17" customFormat="1">
      <c r="A105" s="3"/>
      <c r="B105" s="3"/>
      <c r="C105" s="3"/>
      <c r="D105" s="3"/>
      <c r="E105" s="3"/>
      <c r="F105" s="3"/>
      <c r="G105" s="7"/>
      <c r="H105" s="7"/>
      <c r="I105" s="7"/>
      <c r="J105" s="55"/>
      <c r="K105" s="55"/>
      <c r="L105" s="55"/>
    </row>
    <row r="106" spans="1:12" s="17" customFormat="1">
      <c r="A106" s="3"/>
      <c r="B106" s="3"/>
      <c r="C106" s="3"/>
      <c r="D106" s="3"/>
      <c r="E106" s="3"/>
      <c r="F106" s="3"/>
      <c r="G106" s="3"/>
      <c r="H106" s="3"/>
      <c r="I106" s="7"/>
      <c r="J106" s="55"/>
      <c r="K106" s="55"/>
      <c r="L106" s="55"/>
    </row>
    <row r="107" spans="1:12" s="17" customFormat="1">
      <c r="A107" s="3"/>
      <c r="B107" s="3"/>
      <c r="C107" s="3"/>
      <c r="D107" s="3"/>
      <c r="E107" s="3"/>
      <c r="F107" s="3"/>
      <c r="G107" s="3"/>
      <c r="H107" s="3"/>
      <c r="I107" s="7"/>
      <c r="J107" s="55"/>
      <c r="K107" s="55"/>
      <c r="L107" s="55"/>
    </row>
    <row r="108" spans="1:12" s="17" customFormat="1">
      <c r="A108" s="3"/>
      <c r="B108" s="3"/>
      <c r="C108" s="3"/>
      <c r="D108" s="3"/>
      <c r="E108" s="3"/>
      <c r="F108" s="3"/>
      <c r="G108" s="3"/>
      <c r="H108" s="3"/>
      <c r="I108" s="7"/>
      <c r="J108" s="55"/>
      <c r="K108" s="55"/>
      <c r="L108" s="55"/>
    </row>
    <row r="109" spans="1:12" s="17" customFormat="1">
      <c r="A109" s="3"/>
      <c r="B109" s="3"/>
      <c r="C109" s="3"/>
      <c r="D109" s="3"/>
      <c r="E109" s="3"/>
      <c r="F109" s="3"/>
      <c r="G109" s="3"/>
      <c r="H109" s="3"/>
      <c r="I109" s="7"/>
      <c r="J109" s="55"/>
      <c r="K109" s="55"/>
      <c r="L109" s="55"/>
    </row>
    <row r="110" spans="1:12">
      <c r="A110" s="3"/>
      <c r="B110" s="3"/>
      <c r="C110" s="3"/>
      <c r="D110" s="3"/>
      <c r="E110" s="3"/>
      <c r="F110" s="3"/>
      <c r="G110" s="7"/>
      <c r="H110" s="7"/>
      <c r="I110" s="7"/>
      <c r="J110" s="55"/>
      <c r="K110" s="31"/>
      <c r="L110" s="31"/>
    </row>
    <row r="111" spans="1:12">
      <c r="D111" s="17"/>
      <c r="E111" s="17"/>
      <c r="F111" s="17"/>
      <c r="G111" s="17"/>
      <c r="H111" s="52"/>
      <c r="K111" s="31"/>
      <c r="L111" s="31"/>
    </row>
    <row r="112" spans="1:12">
      <c r="D112" s="17"/>
      <c r="E112" s="17"/>
      <c r="F112" s="17"/>
      <c r="G112" s="41"/>
      <c r="H112" s="52"/>
      <c r="K112" s="31"/>
      <c r="L112" s="31"/>
    </row>
    <row r="113" spans="4:12">
      <c r="D113" s="17"/>
      <c r="E113" s="17"/>
      <c r="F113" s="17"/>
      <c r="G113" s="17"/>
      <c r="H113" s="52"/>
      <c r="K113" s="31"/>
      <c r="L113" s="31"/>
    </row>
    <row r="114" spans="4:12">
      <c r="D114" s="17"/>
      <c r="E114" s="17"/>
      <c r="F114" s="17"/>
      <c r="G114" s="17"/>
      <c r="H114" s="52"/>
      <c r="K114" s="31"/>
      <c r="L114" s="31"/>
    </row>
    <row r="115" spans="4:12">
      <c r="D115" s="17"/>
      <c r="E115" s="17"/>
      <c r="F115" s="17"/>
      <c r="G115" s="17"/>
      <c r="H115" s="52"/>
      <c r="K115" s="31"/>
      <c r="L115" s="31"/>
    </row>
    <row r="116" spans="4:12">
      <c r="D116" s="17"/>
      <c r="E116" s="17"/>
      <c r="F116" s="17"/>
      <c r="G116" s="17"/>
      <c r="H116" s="52"/>
      <c r="K116" s="31"/>
      <c r="L116" s="31"/>
    </row>
    <row r="117" spans="4:12">
      <c r="D117" s="17"/>
      <c r="E117" s="17"/>
      <c r="F117" s="17"/>
      <c r="G117" s="17"/>
      <c r="H117" s="52"/>
      <c r="K117" s="31"/>
      <c r="L117" s="31"/>
    </row>
    <row r="118" spans="4:12">
      <c r="D118" s="17"/>
      <c r="E118" s="17"/>
      <c r="F118" s="17"/>
      <c r="G118" s="17"/>
      <c r="H118" s="52"/>
      <c r="K118" s="31"/>
      <c r="L118" s="31"/>
    </row>
    <row r="119" spans="4:12">
      <c r="D119" s="17"/>
      <c r="E119" s="17"/>
      <c r="F119" s="17"/>
      <c r="G119" s="17"/>
      <c r="H119" s="52"/>
      <c r="K119" s="31"/>
      <c r="L119" s="31"/>
    </row>
    <row r="120" spans="4:12">
      <c r="D120" s="17"/>
      <c r="E120" s="17"/>
      <c r="F120" s="17"/>
      <c r="G120" s="17"/>
      <c r="H120" s="52"/>
      <c r="K120" s="31"/>
      <c r="L120" s="31"/>
    </row>
    <row r="121" spans="4:12">
      <c r="D121" s="17"/>
      <c r="E121" s="17"/>
      <c r="F121" s="17"/>
      <c r="G121" s="17"/>
      <c r="H121" s="52"/>
    </row>
  </sheetData>
  <autoFilter ref="A3:Q33"/>
  <customSheetViews>
    <customSheetView guid="{0859B5D0-67CB-4F4E-8B9E-5B9048AAEEE7}" fitToPage="1" showAutoFilter="1" hiddenColumns="1">
      <pane xSplit="2" ySplit="3" topLeftCell="C4" activePane="bottomRight" state="frozen"/>
      <selection pane="bottomRight" activeCell="E4" sqref="E4"/>
      <pageMargins left="0.39370078740157483" right="0.27559055118110237" top="0.62992125984251968" bottom="0.74803149606299213" header="0.31496062992125984" footer="0.31496062992125984"/>
      <pageSetup paperSize="9" scale="88" orientation="portrait" horizontalDpi="200" verticalDpi="200" r:id="rId1"/>
      <autoFilter ref="A3:Q32"/>
    </customSheetView>
    <customSheetView guid="{F04CC87F-8BB9-4ADB-A881-691B83CEC8D0}" showPageBreaks="1" fitToPage="1" printArea="1" showAutoFilter="1">
      <pane xSplit="2" ySplit="3" topLeftCell="C4" activePane="bottomRight" state="frozen"/>
      <selection pane="bottomRight" activeCell="C2" sqref="C2"/>
      <pageMargins left="0.39370078740157483" right="0.27559055118110237" top="0.62992125984251968" bottom="0.74803149606299213" header="0.31496062992125984" footer="0.31496062992125984"/>
      <pageSetup paperSize="9" orientation="landscape" horizontalDpi="200" verticalDpi="200" r:id="rId2"/>
      <autoFilter ref="A3:R29"/>
    </customSheetView>
    <customSheetView guid="{E3A5F6DA-3A17-412E-AE29-CC07EA04364D}" showPageBreaks="1" fitToPage="1" printArea="1" showAutoFilter="1" hiddenColumns="1">
      <pane xSplit="2" ySplit="3" topLeftCell="C11" activePane="bottomRight" state="frozen"/>
      <selection pane="bottomRight" sqref="A1:I26"/>
      <pageMargins left="0.39370078740157483" right="0.27559055118110237" top="0.62992125984251968" bottom="0.74803149606299213" header="0.31496062992125984" footer="0.31496062992125984"/>
      <pageSetup paperSize="9" scale="82" orientation="portrait" horizontalDpi="200" verticalDpi="200" r:id="rId3"/>
      <autoFilter ref="A3:Q31"/>
    </customSheetView>
  </customSheetViews>
  <mergeCells count="1">
    <mergeCell ref="A1:H1"/>
  </mergeCells>
  <phoneticPr fontId="2" type="noConversion"/>
  <pageMargins left="0.39370078740157483" right="0.27559055118110237" top="0.62992125984251968" bottom="0.74803149606299213" header="0.31496062992125984" footer="0.31496062992125984"/>
  <pageSetup paperSize="9" scale="82" orientation="portrait" horizontalDpi="200" verticalDpi="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F16" sqref="F16"/>
    </sheetView>
  </sheetViews>
  <sheetFormatPr defaultRowHeight="16.5"/>
  <cols>
    <col min="1" max="2" width="5.625" customWidth="1"/>
    <col min="3" max="3" width="12.625" customWidth="1"/>
    <col min="5" max="5" width="13.25" customWidth="1"/>
    <col min="6" max="6" width="6" customWidth="1"/>
    <col min="7" max="7" width="11.375" customWidth="1"/>
    <col min="8" max="8" width="11.25" customWidth="1"/>
    <col min="9" max="9" width="12.125" customWidth="1"/>
  </cols>
  <sheetData>
    <row r="1" spans="1:14" s="1" customFormat="1" ht="23.65" customHeight="1">
      <c r="A1" s="79" t="s">
        <v>213</v>
      </c>
      <c r="B1" s="79"/>
      <c r="C1" s="79"/>
      <c r="D1" s="79"/>
      <c r="E1" s="79"/>
      <c r="F1" s="79"/>
      <c r="G1" s="79"/>
      <c r="H1" s="79"/>
      <c r="I1" s="79"/>
      <c r="J1" s="27"/>
      <c r="K1"/>
      <c r="L1"/>
      <c r="M1"/>
      <c r="N1"/>
    </row>
    <row r="2" spans="1:14" s="15" customFormat="1" ht="17.100000000000001" customHeight="1">
      <c r="A2" s="80" t="s">
        <v>155</v>
      </c>
      <c r="B2" s="80"/>
      <c r="C2" s="12">
        <f ca="1">TODAY()</f>
        <v>46246</v>
      </c>
      <c r="D2" s="13"/>
      <c r="E2" s="13"/>
      <c r="F2" s="13"/>
      <c r="G2" s="13"/>
      <c r="H2" s="13"/>
      <c r="I2" s="13"/>
      <c r="J2" s="28"/>
      <c r="K2" s="14"/>
      <c r="L2" s="14"/>
      <c r="M2" s="14"/>
      <c r="N2" s="14"/>
    </row>
    <row r="3" spans="1:14" s="11" customFormat="1" ht="36" customHeight="1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0" t="s">
        <v>85</v>
      </c>
      <c r="I3" s="20" t="s">
        <v>86</v>
      </c>
      <c r="J3" s="29"/>
      <c r="K3" s="10"/>
      <c r="L3" s="10"/>
      <c r="M3" s="10"/>
      <c r="N3" s="10"/>
    </row>
    <row r="4" spans="1:14" s="1" customFormat="1">
      <c r="A4" s="3" t="s">
        <v>7</v>
      </c>
      <c r="B4" s="3" t="s">
        <v>8</v>
      </c>
      <c r="C4" s="3" t="s">
        <v>9</v>
      </c>
      <c r="D4" s="6" t="s">
        <v>90</v>
      </c>
      <c r="E4" s="6" t="s">
        <v>91</v>
      </c>
      <c r="F4" s="3" t="s">
        <v>12</v>
      </c>
      <c r="G4" s="7" t="s">
        <v>94</v>
      </c>
      <c r="H4" s="8" t="s">
        <v>163</v>
      </c>
      <c r="I4" s="9"/>
      <c r="J4" s="30"/>
      <c r="K4" s="2"/>
      <c r="L4" s="2"/>
      <c r="M4" s="2"/>
      <c r="N4" s="2"/>
    </row>
    <row r="5" spans="1:14" s="1" customFormat="1">
      <c r="A5" s="3" t="s">
        <v>13</v>
      </c>
      <c r="B5" s="3" t="s">
        <v>8</v>
      </c>
      <c r="C5" s="3" t="s">
        <v>9</v>
      </c>
      <c r="D5" s="3" t="s">
        <v>21</v>
      </c>
      <c r="E5" s="3" t="s">
        <v>22</v>
      </c>
      <c r="F5" s="3" t="s">
        <v>12</v>
      </c>
      <c r="G5" s="7" t="s">
        <v>98</v>
      </c>
      <c r="H5" s="7" t="s">
        <v>129</v>
      </c>
      <c r="I5" s="9"/>
      <c r="J5" s="30"/>
      <c r="K5" s="2"/>
      <c r="L5" s="2"/>
      <c r="M5" s="2"/>
      <c r="N5" s="2"/>
    </row>
    <row r="6" spans="1:14" s="1" customFormat="1">
      <c r="A6" s="3" t="s">
        <v>216</v>
      </c>
      <c r="B6" s="3" t="s">
        <v>8</v>
      </c>
      <c r="C6" s="3" t="s">
        <v>9</v>
      </c>
      <c r="D6" s="3" t="s">
        <v>17</v>
      </c>
      <c r="E6" s="3" t="s">
        <v>18</v>
      </c>
      <c r="F6" s="3" t="s">
        <v>12</v>
      </c>
      <c r="G6" s="7" t="s">
        <v>96</v>
      </c>
      <c r="H6" s="7" t="s">
        <v>127</v>
      </c>
      <c r="I6" s="9"/>
      <c r="J6" s="30"/>
      <c r="K6" s="2"/>
      <c r="L6" s="2"/>
      <c r="M6" s="2"/>
      <c r="N6" s="2"/>
    </row>
    <row r="7" spans="1:14" s="1" customFormat="1">
      <c r="A7" s="3" t="s">
        <v>205</v>
      </c>
      <c r="B7" s="3" t="s">
        <v>8</v>
      </c>
      <c r="C7" s="3" t="s">
        <v>9</v>
      </c>
      <c r="D7" s="3" t="s">
        <v>66</v>
      </c>
      <c r="E7" s="3" t="s">
        <v>67</v>
      </c>
      <c r="F7" s="3" t="s">
        <v>16</v>
      </c>
      <c r="G7" s="7" t="s">
        <v>95</v>
      </c>
      <c r="H7" s="26" t="s">
        <v>157</v>
      </c>
      <c r="I7" s="9"/>
      <c r="J7" s="30"/>
      <c r="K7" s="2"/>
      <c r="L7" s="2"/>
      <c r="M7" s="2"/>
      <c r="N7" s="2"/>
    </row>
    <row r="8" spans="1:14" ht="17.25" thickBot="1">
      <c r="A8" s="34" t="s">
        <v>206</v>
      </c>
      <c r="B8" s="34" t="s">
        <v>8</v>
      </c>
      <c r="C8" s="34" t="s">
        <v>9</v>
      </c>
      <c r="D8" s="34" t="s">
        <v>23</v>
      </c>
      <c r="E8" s="34" t="s">
        <v>24</v>
      </c>
      <c r="F8" s="34" t="s">
        <v>12</v>
      </c>
      <c r="G8" s="35" t="s">
        <v>99</v>
      </c>
      <c r="H8" s="40" t="s">
        <v>130</v>
      </c>
      <c r="I8" s="37"/>
    </row>
    <row r="9" spans="1:14" ht="17.25" thickTop="1">
      <c r="A9" s="23" t="s">
        <v>74</v>
      </c>
      <c r="B9" s="23" t="s">
        <v>8</v>
      </c>
      <c r="C9" s="23" t="s">
        <v>9</v>
      </c>
      <c r="D9" s="23" t="s">
        <v>83</v>
      </c>
      <c r="E9" s="23" t="s">
        <v>84</v>
      </c>
      <c r="F9" s="23" t="s">
        <v>12</v>
      </c>
      <c r="G9" s="25" t="s">
        <v>123</v>
      </c>
      <c r="H9" s="25" t="s">
        <v>147</v>
      </c>
      <c r="I9" s="25" t="s">
        <v>151</v>
      </c>
    </row>
    <row r="10" spans="1:14">
      <c r="A10" s="3" t="s">
        <v>74</v>
      </c>
      <c r="B10" s="3" t="s">
        <v>8</v>
      </c>
      <c r="C10" s="3" t="s">
        <v>9</v>
      </c>
      <c r="D10" s="3" t="s">
        <v>14</v>
      </c>
      <c r="E10" s="3" t="s">
        <v>15</v>
      </c>
      <c r="F10" s="3" t="s">
        <v>16</v>
      </c>
      <c r="G10" s="7" t="s">
        <v>124</v>
      </c>
      <c r="H10" s="7" t="s">
        <v>167</v>
      </c>
      <c r="I10" s="7" t="s">
        <v>152</v>
      </c>
    </row>
    <row r="11" spans="1:14">
      <c r="A11" s="3" t="s">
        <v>74</v>
      </c>
      <c r="B11" s="3" t="s">
        <v>8</v>
      </c>
      <c r="C11" s="3" t="s">
        <v>9</v>
      </c>
      <c r="D11" s="3" t="s">
        <v>19</v>
      </c>
      <c r="E11" s="3" t="s">
        <v>20</v>
      </c>
      <c r="F11" s="3" t="s">
        <v>12</v>
      </c>
      <c r="G11" s="7" t="s">
        <v>97</v>
      </c>
      <c r="H11" s="7" t="s">
        <v>128</v>
      </c>
      <c r="I11" s="7" t="s">
        <v>201</v>
      </c>
    </row>
    <row r="12" spans="1:14">
      <c r="A12" s="3" t="s">
        <v>74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7" t="s">
        <v>94</v>
      </c>
      <c r="H12" s="7" t="s">
        <v>126</v>
      </c>
      <c r="I12" s="7" t="s">
        <v>201</v>
      </c>
    </row>
    <row r="14" spans="1:14">
      <c r="D14" s="41"/>
      <c r="E14" s="41"/>
      <c r="F14" s="41"/>
      <c r="G14" s="42"/>
      <c r="H14" s="43"/>
    </row>
  </sheetData>
  <customSheetViews>
    <customSheetView guid="{0859B5D0-67CB-4F4E-8B9E-5B9048AAEEE7}" state="hidden">
      <selection activeCell="F16" sqref="F16"/>
      <pageMargins left="0.7" right="0.7" top="0.75" bottom="0.75" header="0.3" footer="0.3"/>
      <pageSetup paperSize="9" orientation="portrait" r:id="rId1"/>
    </customSheetView>
    <customSheetView guid="{F04CC87F-8BB9-4ADB-A881-691B83CEC8D0}">
      <selection activeCell="F16" sqref="F16"/>
      <pageMargins left="0.7" right="0.7" top="0.75" bottom="0.75" header="0.3" footer="0.3"/>
      <pageSetup paperSize="9" orientation="portrait" r:id="rId2"/>
    </customSheetView>
    <customSheetView guid="{E3A5F6DA-3A17-412E-AE29-CC07EA04364D}" state="hidden">
      <selection activeCell="F16" sqref="F16"/>
      <pageMargins left="0.7" right="0.7" top="0.75" bottom="0.75" header="0.3" footer="0.3"/>
      <pageSetup paperSize="9" orientation="portrait" r:id="rId3"/>
    </customSheetView>
  </customSheetViews>
  <mergeCells count="2">
    <mergeCell ref="A1:I1"/>
    <mergeCell ref="A2:B2"/>
  </mergeCells>
  <phoneticPr fontId="2" type="noConversion"/>
  <conditionalFormatting sqref="E3:E4 E6:E7">
    <cfRule type="duplicateValues" dxfId="23" priority="11"/>
  </conditionalFormatting>
  <conditionalFormatting sqref="E5">
    <cfRule type="duplicateValues" dxfId="22" priority="2"/>
  </conditionalFormatting>
  <conditionalFormatting sqref="E6">
    <cfRule type="duplicateValues" dxfId="21" priority="10"/>
  </conditionalFormatting>
  <conditionalFormatting sqref="E8">
    <cfRule type="duplicateValues" dxfId="20" priority="1"/>
  </conditionalFormatting>
  <conditionalFormatting sqref="E9">
    <cfRule type="duplicateValues" dxfId="19" priority="9"/>
  </conditionalFormatting>
  <conditionalFormatting sqref="E10">
    <cfRule type="duplicateValues" dxfId="18" priority="8"/>
  </conditionalFormatting>
  <conditionalFormatting sqref="E11">
    <cfRule type="duplicateValues" dxfId="17" priority="6"/>
    <cfRule type="duplicateValues" dxfId="16" priority="7"/>
  </conditionalFormatting>
  <conditionalFormatting sqref="E12">
    <cfRule type="duplicateValues" dxfId="15" priority="5"/>
  </conditionalFormatting>
  <conditionalFormatting sqref="E14">
    <cfRule type="duplicateValues" dxfId="14" priority="3"/>
  </conditionalFormatting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H20" sqref="H20"/>
    </sheetView>
  </sheetViews>
  <sheetFormatPr defaultRowHeight="16.5"/>
  <cols>
    <col min="1" max="1" width="6" customWidth="1"/>
    <col min="3" max="3" width="18.875" customWidth="1"/>
    <col min="5" max="5" width="13" customWidth="1"/>
    <col min="6" max="6" width="5.625" customWidth="1"/>
    <col min="7" max="7" width="12.625" customWidth="1"/>
    <col min="8" max="8" width="11.5" customWidth="1"/>
    <col min="9" max="9" width="10.75" customWidth="1"/>
  </cols>
  <sheetData>
    <row r="1" spans="1:14" s="1" customFormat="1" ht="23.65" customHeight="1">
      <c r="A1" s="79" t="s">
        <v>214</v>
      </c>
      <c r="B1" s="79"/>
      <c r="C1" s="79"/>
      <c r="D1" s="79"/>
      <c r="E1" s="79"/>
      <c r="F1" s="79"/>
      <c r="G1" s="79"/>
      <c r="H1" s="79"/>
      <c r="I1" s="79"/>
      <c r="J1" s="27"/>
      <c r="K1"/>
      <c r="L1"/>
      <c r="M1"/>
      <c r="N1"/>
    </row>
    <row r="2" spans="1:14" s="15" customFormat="1" ht="17.100000000000001" customHeight="1">
      <c r="A2" s="81" t="s">
        <v>155</v>
      </c>
      <c r="B2" s="82"/>
      <c r="C2" s="12">
        <f ca="1">TODAY()</f>
        <v>46246</v>
      </c>
      <c r="D2" s="13"/>
      <c r="E2" s="13"/>
      <c r="F2" s="13"/>
      <c r="G2" s="13"/>
      <c r="H2" s="13"/>
      <c r="I2" s="13"/>
      <c r="J2" s="28"/>
      <c r="K2" s="14"/>
      <c r="L2" s="14"/>
      <c r="M2" s="14"/>
      <c r="N2" s="14"/>
    </row>
    <row r="3" spans="1:14" s="11" customFormat="1" ht="36" customHeight="1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0" t="s">
        <v>85</v>
      </c>
      <c r="I3" s="20" t="s">
        <v>86</v>
      </c>
      <c r="J3" s="29"/>
      <c r="K3" s="10"/>
      <c r="L3" s="10"/>
      <c r="M3" s="10"/>
      <c r="N3" s="10"/>
    </row>
    <row r="4" spans="1:14" s="1" customFormat="1">
      <c r="A4" s="3" t="s">
        <v>7</v>
      </c>
      <c r="B4" s="3" t="s">
        <v>8</v>
      </c>
      <c r="C4" s="3" t="s">
        <v>202</v>
      </c>
      <c r="D4" s="3" t="s">
        <v>42</v>
      </c>
      <c r="E4" s="3" t="s">
        <v>43</v>
      </c>
      <c r="F4" s="3" t="s">
        <v>12</v>
      </c>
      <c r="G4" s="7" t="s">
        <v>107</v>
      </c>
      <c r="H4" s="7" t="s">
        <v>133</v>
      </c>
      <c r="I4" s="9"/>
      <c r="J4" s="30"/>
      <c r="K4" s="2"/>
      <c r="L4" s="2"/>
      <c r="M4" s="2"/>
      <c r="N4" s="2"/>
    </row>
    <row r="5" spans="1:14" s="1" customFormat="1">
      <c r="A5" s="3" t="s">
        <v>13</v>
      </c>
      <c r="B5" s="3" t="s">
        <v>8</v>
      </c>
      <c r="C5" s="3" t="s">
        <v>202</v>
      </c>
      <c r="D5" s="3" t="s">
        <v>49</v>
      </c>
      <c r="E5" s="3" t="s">
        <v>50</v>
      </c>
      <c r="F5" s="3" t="s">
        <v>48</v>
      </c>
      <c r="G5" s="7" t="s">
        <v>110</v>
      </c>
      <c r="H5" s="7" t="s">
        <v>136</v>
      </c>
      <c r="I5" s="9"/>
      <c r="J5" s="30"/>
      <c r="K5" s="2"/>
      <c r="L5" s="2"/>
      <c r="M5" s="2"/>
      <c r="N5" s="2"/>
    </row>
    <row r="6" spans="1:14" s="1" customFormat="1">
      <c r="A6" s="3" t="s">
        <v>216</v>
      </c>
      <c r="B6" s="3" t="s">
        <v>8</v>
      </c>
      <c r="C6" s="3" t="s">
        <v>202</v>
      </c>
      <c r="D6" s="3" t="s">
        <v>53</v>
      </c>
      <c r="E6" s="3" t="s">
        <v>54</v>
      </c>
      <c r="F6" s="3" t="s">
        <v>33</v>
      </c>
      <c r="G6" s="7" t="s">
        <v>112</v>
      </c>
      <c r="H6" s="7" t="s">
        <v>137</v>
      </c>
      <c r="I6" s="9"/>
      <c r="J6" s="30"/>
      <c r="K6" s="2"/>
      <c r="L6" s="2"/>
      <c r="M6" s="2"/>
      <c r="N6" s="2"/>
    </row>
    <row r="7" spans="1:14" s="1" customFormat="1">
      <c r="A7" s="3" t="s">
        <v>205</v>
      </c>
      <c r="B7" s="3" t="s">
        <v>8</v>
      </c>
      <c r="C7" s="3" t="s">
        <v>202</v>
      </c>
      <c r="D7" s="3" t="s">
        <v>44</v>
      </c>
      <c r="E7" s="3" t="s">
        <v>45</v>
      </c>
      <c r="F7" s="3" t="s">
        <v>33</v>
      </c>
      <c r="G7" s="7" t="s">
        <v>108</v>
      </c>
      <c r="H7" s="7" t="s">
        <v>134</v>
      </c>
      <c r="I7" s="9"/>
      <c r="J7" s="30"/>
      <c r="K7" s="2"/>
      <c r="L7" s="2"/>
      <c r="M7" s="2"/>
      <c r="N7" s="2"/>
    </row>
    <row r="8" spans="1:14" s="1" customFormat="1">
      <c r="A8" s="3" t="s">
        <v>206</v>
      </c>
      <c r="B8" s="3" t="s">
        <v>8</v>
      </c>
      <c r="C8" s="3" t="s">
        <v>202</v>
      </c>
      <c r="D8" s="3" t="s">
        <v>51</v>
      </c>
      <c r="E8" s="3" t="s">
        <v>52</v>
      </c>
      <c r="F8" s="3" t="s">
        <v>33</v>
      </c>
      <c r="G8" s="7" t="s">
        <v>111</v>
      </c>
      <c r="H8" s="7" t="s">
        <v>134</v>
      </c>
      <c r="I8" s="9"/>
      <c r="J8" s="30"/>
      <c r="K8" s="2"/>
      <c r="L8" s="2"/>
      <c r="M8" s="2"/>
      <c r="N8" s="2"/>
    </row>
    <row r="9" spans="1:14" s="1" customFormat="1">
      <c r="A9" s="3" t="s">
        <v>207</v>
      </c>
      <c r="B9" s="3" t="s">
        <v>8</v>
      </c>
      <c r="C9" s="3" t="s">
        <v>202</v>
      </c>
      <c r="D9" s="4" t="s">
        <v>46</v>
      </c>
      <c r="E9" s="3" t="s">
        <v>47</v>
      </c>
      <c r="F9" s="3" t="s">
        <v>48</v>
      </c>
      <c r="G9" s="7" t="s">
        <v>109</v>
      </c>
      <c r="H9" s="7" t="s">
        <v>135</v>
      </c>
      <c r="I9" s="9"/>
      <c r="J9" s="30"/>
      <c r="K9" s="2"/>
      <c r="L9" s="2"/>
      <c r="M9" s="2"/>
      <c r="N9" s="2"/>
    </row>
    <row r="10" spans="1:14" s="1" customFormat="1">
      <c r="A10" s="3" t="s">
        <v>193</v>
      </c>
      <c r="B10" s="3" t="s">
        <v>8</v>
      </c>
      <c r="C10" s="3" t="s">
        <v>202</v>
      </c>
      <c r="D10" s="3" t="s">
        <v>58</v>
      </c>
      <c r="E10" s="3" t="s">
        <v>59</v>
      </c>
      <c r="F10" s="3" t="s">
        <v>33</v>
      </c>
      <c r="G10" s="7" t="s">
        <v>114</v>
      </c>
      <c r="H10" s="26"/>
      <c r="I10" s="9"/>
      <c r="J10" s="30"/>
      <c r="K10" s="2"/>
      <c r="L10" s="2"/>
      <c r="M10" s="2"/>
      <c r="N10" s="2"/>
    </row>
    <row r="11" spans="1:14" s="1" customFormat="1">
      <c r="A11" s="3" t="s">
        <v>194</v>
      </c>
      <c r="B11" s="3" t="s">
        <v>8</v>
      </c>
      <c r="C11" s="3" t="s">
        <v>203</v>
      </c>
      <c r="D11" s="3" t="s">
        <v>27</v>
      </c>
      <c r="E11" s="3" t="s">
        <v>28</v>
      </c>
      <c r="F11" s="3" t="s">
        <v>12</v>
      </c>
      <c r="G11" s="7" t="s">
        <v>101</v>
      </c>
      <c r="H11" s="7" t="s">
        <v>165</v>
      </c>
      <c r="I11" s="9"/>
      <c r="J11" s="30"/>
      <c r="K11"/>
      <c r="L11"/>
      <c r="M11"/>
      <c r="N11"/>
    </row>
    <row r="12" spans="1:14" s="1" customFormat="1">
      <c r="A12" s="3" t="s">
        <v>195</v>
      </c>
      <c r="B12" s="3" t="s">
        <v>8</v>
      </c>
      <c r="C12" s="3" t="s">
        <v>203</v>
      </c>
      <c r="D12" s="3" t="s">
        <v>25</v>
      </c>
      <c r="E12" s="3" t="s">
        <v>26</v>
      </c>
      <c r="F12" s="3" t="s">
        <v>12</v>
      </c>
      <c r="G12" s="7" t="s">
        <v>100</v>
      </c>
      <c r="H12" s="7" t="s">
        <v>164</v>
      </c>
      <c r="I12" s="9"/>
      <c r="J12" s="30"/>
      <c r="K12" s="2"/>
      <c r="L12" s="2"/>
      <c r="M12" s="2"/>
      <c r="N12" s="2"/>
    </row>
    <row r="13" spans="1:14" s="1" customFormat="1">
      <c r="A13" s="3" t="s">
        <v>196</v>
      </c>
      <c r="B13" s="3" t="s">
        <v>8</v>
      </c>
      <c r="C13" s="3" t="s">
        <v>203</v>
      </c>
      <c r="D13" s="3" t="s">
        <v>29</v>
      </c>
      <c r="E13" s="3" t="s">
        <v>30</v>
      </c>
      <c r="F13" s="3" t="s">
        <v>12</v>
      </c>
      <c r="G13" s="7" t="s">
        <v>102</v>
      </c>
      <c r="H13" s="7" t="s">
        <v>166</v>
      </c>
      <c r="I13" s="9"/>
      <c r="J13" s="30"/>
      <c r="K13" s="2"/>
      <c r="L13" s="2"/>
      <c r="M13" s="2"/>
      <c r="N13" s="2"/>
    </row>
    <row r="14" spans="1:14" s="1" customFormat="1">
      <c r="A14" s="3" t="s">
        <v>197</v>
      </c>
      <c r="B14" s="3" t="s">
        <v>8</v>
      </c>
      <c r="C14" s="3" t="s">
        <v>203</v>
      </c>
      <c r="D14" s="3" t="s">
        <v>31</v>
      </c>
      <c r="E14" s="3" t="s">
        <v>32</v>
      </c>
      <c r="F14" s="3" t="s">
        <v>33</v>
      </c>
      <c r="G14" s="7" t="s">
        <v>103</v>
      </c>
      <c r="H14" s="7" t="s">
        <v>131</v>
      </c>
      <c r="I14" s="9"/>
      <c r="J14" s="30"/>
      <c r="K14" s="2"/>
      <c r="L14" s="2"/>
      <c r="M14" s="2"/>
      <c r="N14" s="2"/>
    </row>
    <row r="15" spans="1:14" s="1" customFormat="1">
      <c r="A15" s="3" t="s">
        <v>198</v>
      </c>
      <c r="B15" s="3" t="s">
        <v>8</v>
      </c>
      <c r="C15" s="3" t="s">
        <v>203</v>
      </c>
      <c r="D15" s="3" t="s">
        <v>34</v>
      </c>
      <c r="E15" s="3" t="s">
        <v>35</v>
      </c>
      <c r="F15" s="3" t="s">
        <v>12</v>
      </c>
      <c r="G15" s="7" t="s">
        <v>104</v>
      </c>
      <c r="H15" s="7" t="s">
        <v>161</v>
      </c>
      <c r="I15" s="9"/>
      <c r="J15" s="30"/>
      <c r="K15" s="2"/>
      <c r="L15" s="2"/>
      <c r="M15" s="2"/>
      <c r="N15" s="2"/>
    </row>
    <row r="16" spans="1:14" s="1" customFormat="1">
      <c r="A16" s="3" t="s">
        <v>199</v>
      </c>
      <c r="B16" s="3" t="s">
        <v>8</v>
      </c>
      <c r="C16" s="3" t="s">
        <v>203</v>
      </c>
      <c r="D16" s="3" t="s">
        <v>36</v>
      </c>
      <c r="E16" s="3" t="s">
        <v>37</v>
      </c>
      <c r="F16" s="3" t="s">
        <v>12</v>
      </c>
      <c r="G16" s="7" t="s">
        <v>105</v>
      </c>
      <c r="H16" s="7" t="s">
        <v>159</v>
      </c>
      <c r="I16" s="9"/>
      <c r="J16" s="30"/>
      <c r="K16" s="2"/>
      <c r="L16" s="2"/>
      <c r="M16" s="2"/>
      <c r="N16" s="2"/>
    </row>
    <row r="17" spans="1:14" s="1" customFormat="1" ht="17.25" thickBot="1">
      <c r="A17" s="34" t="s">
        <v>200</v>
      </c>
      <c r="B17" s="34" t="s">
        <v>8</v>
      </c>
      <c r="C17" s="34" t="s">
        <v>203</v>
      </c>
      <c r="D17" s="34" t="s">
        <v>40</v>
      </c>
      <c r="E17" s="34" t="s">
        <v>41</v>
      </c>
      <c r="F17" s="34" t="s">
        <v>16</v>
      </c>
      <c r="G17" s="35" t="s">
        <v>106</v>
      </c>
      <c r="H17" s="35" t="s">
        <v>132</v>
      </c>
      <c r="I17" s="36"/>
      <c r="J17" s="30"/>
      <c r="K17" s="2"/>
      <c r="L17" s="2"/>
      <c r="M17" s="2"/>
      <c r="N17" s="2"/>
    </row>
    <row r="18" spans="1:14" s="1" customFormat="1" ht="17.25" thickTop="1">
      <c r="A18" s="23" t="s">
        <v>74</v>
      </c>
      <c r="B18" s="23" t="s">
        <v>8</v>
      </c>
      <c r="C18" s="23" t="s">
        <v>203</v>
      </c>
      <c r="D18" s="23" t="s">
        <v>78</v>
      </c>
      <c r="E18" s="23" t="s">
        <v>79</v>
      </c>
      <c r="F18" s="23" t="s">
        <v>33</v>
      </c>
      <c r="G18" s="25" t="s">
        <v>121</v>
      </c>
      <c r="H18" s="25" t="s">
        <v>145</v>
      </c>
      <c r="I18" s="25" t="s">
        <v>149</v>
      </c>
      <c r="J18" s="30"/>
      <c r="K18" s="2"/>
      <c r="L18" s="2"/>
      <c r="M18" s="2"/>
      <c r="N18" s="2"/>
    </row>
    <row r="19" spans="1:14" s="1" customFormat="1">
      <c r="A19" s="3" t="s">
        <v>74</v>
      </c>
      <c r="B19" s="3" t="s">
        <v>8</v>
      </c>
      <c r="C19" s="3" t="s">
        <v>203</v>
      </c>
      <c r="D19" s="3" t="s">
        <v>179</v>
      </c>
      <c r="E19" s="3" t="s">
        <v>180</v>
      </c>
      <c r="F19" s="3" t="s">
        <v>33</v>
      </c>
      <c r="G19" s="7" t="s">
        <v>191</v>
      </c>
      <c r="H19" s="7" t="s">
        <v>181</v>
      </c>
      <c r="I19" s="7" t="s">
        <v>182</v>
      </c>
      <c r="J19" s="30"/>
      <c r="K19" s="2"/>
      <c r="L19" s="2"/>
      <c r="M19" s="2"/>
      <c r="N19" s="2"/>
    </row>
    <row r="20" spans="1:14" s="1" customFormat="1">
      <c r="A20" s="3" t="s">
        <v>74</v>
      </c>
      <c r="B20" s="3" t="s">
        <v>8</v>
      </c>
      <c r="C20" s="3" t="s">
        <v>203</v>
      </c>
      <c r="D20" s="3" t="s">
        <v>183</v>
      </c>
      <c r="E20" s="3" t="s">
        <v>184</v>
      </c>
      <c r="F20" s="3" t="s">
        <v>33</v>
      </c>
      <c r="G20" s="7" t="s">
        <v>189</v>
      </c>
      <c r="H20" s="7" t="s">
        <v>181</v>
      </c>
      <c r="I20" s="7" t="s">
        <v>185</v>
      </c>
      <c r="J20" s="30"/>
      <c r="K20" s="2"/>
      <c r="L20" s="2"/>
      <c r="M20" s="2"/>
      <c r="N20" s="2"/>
    </row>
    <row r="21" spans="1:14" s="1" customFormat="1">
      <c r="A21" s="3" t="s">
        <v>74</v>
      </c>
      <c r="B21" s="3" t="s">
        <v>8</v>
      </c>
      <c r="C21" s="3" t="s">
        <v>203</v>
      </c>
      <c r="D21" s="3" t="s">
        <v>186</v>
      </c>
      <c r="E21" s="3" t="s">
        <v>187</v>
      </c>
      <c r="F21" s="3" t="s">
        <v>33</v>
      </c>
      <c r="G21" s="7" t="s">
        <v>190</v>
      </c>
      <c r="H21" s="7" t="s">
        <v>181</v>
      </c>
      <c r="I21" s="7" t="s">
        <v>192</v>
      </c>
      <c r="J21" s="30"/>
      <c r="K21"/>
      <c r="L21" s="2"/>
      <c r="M21" s="2"/>
      <c r="N21" s="2"/>
    </row>
    <row r="22" spans="1:14" s="1" customFormat="1">
      <c r="A22" s="3" t="s">
        <v>74</v>
      </c>
      <c r="B22" s="3" t="s">
        <v>8</v>
      </c>
      <c r="C22" s="3" t="s">
        <v>202</v>
      </c>
      <c r="D22" s="3" t="s">
        <v>169</v>
      </c>
      <c r="E22" s="3" t="s">
        <v>170</v>
      </c>
      <c r="F22" s="3" t="s">
        <v>16</v>
      </c>
      <c r="G22" s="7" t="s">
        <v>177</v>
      </c>
      <c r="H22" s="7" t="s">
        <v>171</v>
      </c>
      <c r="I22" s="7" t="s">
        <v>172</v>
      </c>
      <c r="J22" s="30"/>
      <c r="K22" s="2"/>
      <c r="L22" s="2"/>
      <c r="M22" s="2"/>
      <c r="N22" s="2"/>
    </row>
    <row r="23" spans="1:14" s="1" customFormat="1">
      <c r="A23" s="3" t="s">
        <v>74</v>
      </c>
      <c r="B23" s="3" t="s">
        <v>8</v>
      </c>
      <c r="C23" s="3" t="s">
        <v>202</v>
      </c>
      <c r="D23" s="3" t="s">
        <v>173</v>
      </c>
      <c r="E23" s="3" t="s">
        <v>174</v>
      </c>
      <c r="F23" s="3" t="s">
        <v>16</v>
      </c>
      <c r="G23" s="7" t="s">
        <v>176</v>
      </c>
      <c r="H23" s="7" t="s">
        <v>175</v>
      </c>
      <c r="I23" s="7" t="s">
        <v>172</v>
      </c>
      <c r="J23" s="30"/>
      <c r="K23" s="2"/>
      <c r="L23" s="2"/>
      <c r="M23" s="2"/>
      <c r="N23" s="2"/>
    </row>
    <row r="24" spans="1:14" s="1" customFormat="1">
      <c r="A24" s="3" t="s">
        <v>74</v>
      </c>
      <c r="B24" s="3" t="s">
        <v>8</v>
      </c>
      <c r="C24" s="3" t="s">
        <v>203</v>
      </c>
      <c r="D24" s="3" t="s">
        <v>38</v>
      </c>
      <c r="E24" s="3" t="s">
        <v>39</v>
      </c>
      <c r="F24" s="3" t="s">
        <v>16</v>
      </c>
      <c r="G24" s="7" t="s">
        <v>125</v>
      </c>
      <c r="H24" s="7" t="s">
        <v>188</v>
      </c>
      <c r="I24" s="32" t="s">
        <v>153</v>
      </c>
      <c r="J24" s="30"/>
      <c r="K24" s="2"/>
      <c r="L24" s="2"/>
      <c r="M24" s="2"/>
      <c r="N24" s="2"/>
    </row>
  </sheetData>
  <customSheetViews>
    <customSheetView guid="{0859B5D0-67CB-4F4E-8B9E-5B9048AAEEE7}" state="hidden">
      <selection activeCell="H20" sqref="H20"/>
      <pageMargins left="0.39" right="0.24" top="0.75" bottom="0.75" header="0.3" footer="0.3"/>
      <pageSetup paperSize="9" orientation="portrait" r:id="rId1"/>
    </customSheetView>
    <customSheetView guid="{F04CC87F-8BB9-4ADB-A881-691B83CEC8D0}" topLeftCell="A13">
      <selection activeCell="H10" sqref="H10"/>
      <pageMargins left="0.39" right="0.24" top="0.75" bottom="0.75" header="0.3" footer="0.3"/>
      <pageSetup paperSize="9" orientation="portrait" r:id="rId2"/>
    </customSheetView>
    <customSheetView guid="{E3A5F6DA-3A17-412E-AE29-CC07EA04364D}" state="hidden">
      <selection activeCell="H20" sqref="H20"/>
      <pageMargins left="0.39" right="0.24" top="0.75" bottom="0.75" header="0.3" footer="0.3"/>
      <pageSetup paperSize="9" orientation="portrait" r:id="rId3"/>
    </customSheetView>
  </customSheetViews>
  <mergeCells count="2">
    <mergeCell ref="A1:I1"/>
    <mergeCell ref="A2:B2"/>
  </mergeCells>
  <phoneticPr fontId="2" type="noConversion"/>
  <conditionalFormatting sqref="E3">
    <cfRule type="duplicateValues" dxfId="13" priority="7"/>
  </conditionalFormatting>
  <conditionalFormatting sqref="E9">
    <cfRule type="duplicateValues" dxfId="12" priority="5"/>
  </conditionalFormatting>
  <conditionalFormatting sqref="E12">
    <cfRule type="duplicateValues" dxfId="11" priority="3"/>
  </conditionalFormatting>
  <conditionalFormatting sqref="E13:E17 E4:E11">
    <cfRule type="duplicateValues" dxfId="10" priority="6"/>
  </conditionalFormatting>
  <conditionalFormatting sqref="E14">
    <cfRule type="duplicateValues" dxfId="9" priority="4"/>
  </conditionalFormatting>
  <conditionalFormatting sqref="E18:E23">
    <cfRule type="duplicateValues" dxfId="8" priority="1"/>
  </conditionalFormatting>
  <conditionalFormatting sqref="E24">
    <cfRule type="duplicateValues" dxfId="7" priority="2"/>
  </conditionalFormatting>
  <pageMargins left="0.39" right="0.24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H7" sqref="H7"/>
    </sheetView>
  </sheetViews>
  <sheetFormatPr defaultRowHeight="16.5"/>
  <cols>
    <col min="1" max="1" width="5.75" customWidth="1"/>
    <col min="3" max="3" width="13.875" customWidth="1"/>
    <col min="5" max="5" width="13" customWidth="1"/>
    <col min="6" max="6" width="6.375" customWidth="1"/>
    <col min="7" max="7" width="11.5" customWidth="1"/>
    <col min="8" max="8" width="11.625" customWidth="1"/>
    <col min="9" max="9" width="10.25" customWidth="1"/>
  </cols>
  <sheetData>
    <row r="1" spans="1:14" s="1" customFormat="1" ht="23.65" customHeight="1">
      <c r="A1" s="79" t="s">
        <v>154</v>
      </c>
      <c r="B1" s="79"/>
      <c r="C1" s="79"/>
      <c r="D1" s="79"/>
      <c r="E1" s="79"/>
      <c r="F1" s="79"/>
      <c r="G1" s="79"/>
      <c r="H1" s="79"/>
      <c r="I1" s="79"/>
      <c r="J1" s="27"/>
      <c r="K1"/>
      <c r="L1"/>
      <c r="M1"/>
      <c r="N1"/>
    </row>
    <row r="2" spans="1:14" s="15" customFormat="1" ht="17.100000000000001" customHeight="1">
      <c r="A2" s="81" t="s">
        <v>155</v>
      </c>
      <c r="B2" s="82"/>
      <c r="C2" s="12">
        <f ca="1">TODAY()</f>
        <v>46246</v>
      </c>
      <c r="D2" s="13"/>
      <c r="E2" s="13"/>
      <c r="F2" s="13"/>
      <c r="G2" s="13"/>
      <c r="H2" s="13"/>
      <c r="I2" s="13"/>
      <c r="J2" s="28"/>
      <c r="K2" s="14"/>
      <c r="L2" s="14"/>
      <c r="M2" s="14"/>
      <c r="N2" s="14"/>
    </row>
    <row r="3" spans="1:14" s="11" customFormat="1" ht="36" customHeight="1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0" t="s">
        <v>85</v>
      </c>
      <c r="I3" s="20" t="s">
        <v>86</v>
      </c>
      <c r="J3" s="29"/>
      <c r="K3" s="10"/>
      <c r="L3" s="10"/>
      <c r="M3" s="10"/>
      <c r="N3" s="10"/>
    </row>
    <row r="4" spans="1:14">
      <c r="A4" s="3" t="s">
        <v>7</v>
      </c>
      <c r="B4" s="3" t="s">
        <v>8</v>
      </c>
      <c r="C4" s="3" t="s">
        <v>60</v>
      </c>
      <c r="D4" s="3" t="s">
        <v>61</v>
      </c>
      <c r="E4" s="3" t="s">
        <v>62</v>
      </c>
      <c r="F4" s="3" t="s">
        <v>63</v>
      </c>
      <c r="G4" s="7" t="s">
        <v>115</v>
      </c>
      <c r="H4" s="7" t="s">
        <v>139</v>
      </c>
      <c r="I4" s="9"/>
    </row>
    <row r="5" spans="1:14">
      <c r="A5" s="3" t="s">
        <v>13</v>
      </c>
      <c r="B5" s="3" t="s">
        <v>8</v>
      </c>
      <c r="C5" s="3" t="s">
        <v>64</v>
      </c>
      <c r="D5" s="3" t="s">
        <v>65</v>
      </c>
      <c r="E5" s="3" t="s">
        <v>204</v>
      </c>
      <c r="F5" s="3" t="s">
        <v>63</v>
      </c>
      <c r="G5" s="7" t="s">
        <v>116</v>
      </c>
      <c r="H5" s="26" t="s">
        <v>158</v>
      </c>
      <c r="I5" s="9"/>
    </row>
    <row r="6" spans="1:14">
      <c r="A6" s="3" t="s">
        <v>216</v>
      </c>
      <c r="B6" s="5" t="s">
        <v>87</v>
      </c>
      <c r="C6" s="3" t="s">
        <v>178</v>
      </c>
      <c r="D6" s="3" t="s">
        <v>88</v>
      </c>
      <c r="E6" s="3" t="s">
        <v>92</v>
      </c>
      <c r="F6" s="3" t="s">
        <v>33</v>
      </c>
      <c r="G6" s="8" t="s">
        <v>117</v>
      </c>
      <c r="H6" s="7" t="s">
        <v>141</v>
      </c>
      <c r="I6" s="9" t="s">
        <v>162</v>
      </c>
    </row>
    <row r="7" spans="1:14">
      <c r="A7" s="3" t="s">
        <v>205</v>
      </c>
      <c r="B7" s="5" t="s">
        <v>87</v>
      </c>
      <c r="C7" s="3" t="s">
        <v>178</v>
      </c>
      <c r="D7" s="3" t="s">
        <v>89</v>
      </c>
      <c r="E7" s="3" t="s">
        <v>93</v>
      </c>
      <c r="F7" s="3" t="s">
        <v>33</v>
      </c>
      <c r="G7" s="8" t="s">
        <v>118</v>
      </c>
      <c r="H7" s="7" t="s">
        <v>141</v>
      </c>
      <c r="I7" s="9" t="s">
        <v>162</v>
      </c>
    </row>
    <row r="8" spans="1:14">
      <c r="A8" s="3" t="s">
        <v>206</v>
      </c>
      <c r="B8" s="5" t="s">
        <v>87</v>
      </c>
      <c r="C8" s="21" t="s">
        <v>208</v>
      </c>
      <c r="D8" s="21" t="s">
        <v>209</v>
      </c>
      <c r="E8" s="21" t="s">
        <v>211</v>
      </c>
      <c r="F8" s="21" t="s">
        <v>16</v>
      </c>
      <c r="G8" s="33" t="s">
        <v>212</v>
      </c>
      <c r="H8" s="22" t="s">
        <v>210</v>
      </c>
      <c r="I8" s="9" t="s">
        <v>162</v>
      </c>
    </row>
    <row r="9" spans="1:14" ht="17.25" thickBot="1">
      <c r="A9" s="34" t="s">
        <v>207</v>
      </c>
      <c r="B9" s="38" t="s">
        <v>87</v>
      </c>
      <c r="C9" s="38" t="s">
        <v>217</v>
      </c>
      <c r="D9" s="38" t="s">
        <v>69</v>
      </c>
      <c r="E9" s="39" t="s">
        <v>70</v>
      </c>
      <c r="F9" s="34" t="s">
        <v>33</v>
      </c>
      <c r="G9" s="40" t="s">
        <v>168</v>
      </c>
      <c r="H9" s="35" t="s">
        <v>142</v>
      </c>
      <c r="I9" s="36"/>
    </row>
    <row r="10" spans="1:14" ht="17.25" thickTop="1">
      <c r="A10" s="23" t="s">
        <v>74</v>
      </c>
      <c r="B10" s="23" t="s">
        <v>8</v>
      </c>
      <c r="C10" s="23" t="s">
        <v>80</v>
      </c>
      <c r="D10" s="24" t="s">
        <v>81</v>
      </c>
      <c r="E10" s="23" t="s">
        <v>82</v>
      </c>
      <c r="F10" s="23" t="s">
        <v>12</v>
      </c>
      <c r="G10" s="25" t="s">
        <v>122</v>
      </c>
      <c r="H10" s="25" t="s">
        <v>146</v>
      </c>
      <c r="I10" s="25" t="s">
        <v>150</v>
      </c>
    </row>
    <row r="11" spans="1:14">
      <c r="A11" s="3" t="s">
        <v>74</v>
      </c>
      <c r="B11" s="3" t="s">
        <v>8</v>
      </c>
      <c r="C11" s="3" t="s">
        <v>55</v>
      </c>
      <c r="D11" s="3" t="s">
        <v>56</v>
      </c>
      <c r="E11" s="3" t="s">
        <v>57</v>
      </c>
      <c r="F11" s="3" t="s">
        <v>33</v>
      </c>
      <c r="G11" s="7" t="s">
        <v>113</v>
      </c>
      <c r="H11" s="7" t="s">
        <v>138</v>
      </c>
      <c r="I11" s="26" t="s">
        <v>157</v>
      </c>
    </row>
    <row r="12" spans="1:14">
      <c r="A12" s="23" t="s">
        <v>74</v>
      </c>
      <c r="B12" s="23" t="s">
        <v>71</v>
      </c>
      <c r="C12" s="23" t="s">
        <v>218</v>
      </c>
      <c r="D12" s="24" t="s">
        <v>72</v>
      </c>
      <c r="E12" s="23" t="s">
        <v>73</v>
      </c>
      <c r="F12" s="23" t="s">
        <v>12</v>
      </c>
      <c r="G12" s="25" t="s">
        <v>119</v>
      </c>
      <c r="H12" s="25" t="s">
        <v>143</v>
      </c>
      <c r="I12" s="25" t="s">
        <v>148</v>
      </c>
    </row>
    <row r="13" spans="1:14">
      <c r="A13" s="3" t="s">
        <v>74</v>
      </c>
      <c r="B13" s="3" t="s">
        <v>71</v>
      </c>
      <c r="C13" s="3" t="s">
        <v>75</v>
      </c>
      <c r="D13" s="3" t="s">
        <v>76</v>
      </c>
      <c r="E13" s="3" t="s">
        <v>77</v>
      </c>
      <c r="F13" s="3" t="s">
        <v>16</v>
      </c>
      <c r="G13" s="7" t="s">
        <v>120</v>
      </c>
      <c r="H13" s="7" t="s">
        <v>144</v>
      </c>
      <c r="I13" s="7" t="s">
        <v>140</v>
      </c>
    </row>
  </sheetData>
  <customSheetViews>
    <customSheetView guid="{0859B5D0-67CB-4F4E-8B9E-5B9048AAEEE7}" state="hidden">
      <selection activeCell="H7" sqref="H7"/>
      <pageMargins left="0.55000000000000004" right="0.41" top="0.75" bottom="0.75" header="0.3" footer="0.3"/>
      <pageSetup paperSize="9" orientation="portrait" r:id="rId1"/>
    </customSheetView>
    <customSheetView guid="{F04CC87F-8BB9-4ADB-A881-691B83CEC8D0}">
      <selection activeCell="H7" sqref="H7"/>
      <pageMargins left="0.55000000000000004" right="0.41" top="0.75" bottom="0.75" header="0.3" footer="0.3"/>
      <pageSetup paperSize="9" orientation="portrait" r:id="rId2"/>
    </customSheetView>
    <customSheetView guid="{E3A5F6DA-3A17-412E-AE29-CC07EA04364D}" state="hidden">
      <selection activeCell="H7" sqref="H7"/>
      <pageMargins left="0.55000000000000004" right="0.41" top="0.75" bottom="0.75" header="0.3" footer="0.3"/>
      <pageSetup paperSize="9" orientation="portrait" r:id="rId3"/>
    </customSheetView>
  </customSheetViews>
  <mergeCells count="2">
    <mergeCell ref="A1:I1"/>
    <mergeCell ref="A2:B2"/>
  </mergeCells>
  <phoneticPr fontId="2" type="noConversion"/>
  <conditionalFormatting sqref="E3">
    <cfRule type="duplicateValues" dxfId="6" priority="7"/>
  </conditionalFormatting>
  <conditionalFormatting sqref="E4">
    <cfRule type="duplicateValues" dxfId="5" priority="6"/>
  </conditionalFormatting>
  <conditionalFormatting sqref="E5:E8">
    <cfRule type="duplicateValues" dxfId="4" priority="5"/>
  </conditionalFormatting>
  <conditionalFormatting sqref="E10">
    <cfRule type="duplicateValues" dxfId="3" priority="1"/>
  </conditionalFormatting>
  <conditionalFormatting sqref="E11">
    <cfRule type="duplicateValues" dxfId="2" priority="3"/>
  </conditionalFormatting>
  <conditionalFormatting sqref="E12">
    <cfRule type="duplicateValues" dxfId="1" priority="2"/>
  </conditionalFormatting>
  <conditionalFormatting sqref="E12:E13 E10">
    <cfRule type="duplicateValues" dxfId="0" priority="4"/>
  </conditionalFormatting>
  <pageMargins left="0.55000000000000004" right="0.41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A31" sqref="A31"/>
    </sheetView>
  </sheetViews>
  <sheetFormatPr defaultRowHeight="16.5"/>
  <cols>
    <col min="1" max="1" width="5.5" customWidth="1"/>
    <col min="3" max="3" width="20.375" customWidth="1"/>
    <col min="5" max="5" width="15.375" customWidth="1"/>
    <col min="6" max="6" width="5.75" customWidth="1"/>
    <col min="7" max="7" width="15" customWidth="1"/>
  </cols>
  <sheetData>
    <row r="1" spans="1:7" ht="21">
      <c r="A1" s="78" t="s">
        <v>347</v>
      </c>
      <c r="B1" s="78"/>
      <c r="C1" s="78"/>
      <c r="D1" s="78"/>
      <c r="E1" s="78"/>
      <c r="F1" s="78"/>
      <c r="G1" s="78"/>
    </row>
    <row r="2" spans="1:7">
      <c r="A2" s="69" t="s">
        <v>356</v>
      </c>
      <c r="B2" s="68"/>
      <c r="C2" s="60"/>
      <c r="D2" s="13"/>
      <c r="E2" s="13"/>
      <c r="F2" s="13"/>
      <c r="G2" s="13"/>
    </row>
    <row r="3" spans="1:7" ht="34.5">
      <c r="A3" s="61" t="s">
        <v>0</v>
      </c>
      <c r="B3" s="61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9" t="s">
        <v>6</v>
      </c>
    </row>
    <row r="4" spans="1:7" ht="17.100000000000001" customHeight="1">
      <c r="A4" s="3" t="s">
        <v>7</v>
      </c>
      <c r="B4" s="3" t="s">
        <v>8</v>
      </c>
      <c r="C4" s="3" t="str">
        <f>全員名冊!C4</f>
        <v>護理人員/負責人</v>
      </c>
      <c r="D4" s="75" t="s">
        <v>357</v>
      </c>
      <c r="E4" s="75" t="s">
        <v>358</v>
      </c>
      <c r="F4" s="3" t="str">
        <f>全員名冊!F4</f>
        <v>女</v>
      </c>
      <c r="G4" s="7" t="s">
        <v>359</v>
      </c>
    </row>
    <row r="5" spans="1:7">
      <c r="A5" s="3" t="s">
        <v>13</v>
      </c>
      <c r="B5" s="3" t="s">
        <v>8</v>
      </c>
      <c r="C5" s="3" t="str">
        <f>全員名冊!C5</f>
        <v>護理人員</v>
      </c>
      <c r="D5" s="3" t="str">
        <f>全員名冊!D5</f>
        <v>李欣蕙</v>
      </c>
      <c r="E5" s="3" t="str">
        <f>全員名冊!E5</f>
        <v>H222344305</v>
      </c>
      <c r="F5" s="3" t="str">
        <f>全員名冊!F5</f>
        <v>女</v>
      </c>
      <c r="G5" s="7" t="str">
        <f>全員名冊!G5</f>
        <v>065/04/24</v>
      </c>
    </row>
    <row r="6" spans="1:7">
      <c r="A6" s="3" t="s">
        <v>243</v>
      </c>
      <c r="B6" s="3" t="s">
        <v>8</v>
      </c>
      <c r="C6" s="3" t="str">
        <f>全員名冊!C6</f>
        <v>護理人員</v>
      </c>
      <c r="D6" s="3" t="str">
        <f>全員名冊!D6</f>
        <v>黃珮鈞</v>
      </c>
      <c r="E6" s="3" t="str">
        <f>全員名冊!E6</f>
        <v>E222806423</v>
      </c>
      <c r="F6" s="3" t="str">
        <f>全員名冊!F6</f>
        <v>女</v>
      </c>
      <c r="G6" s="7" t="str">
        <f>全員名冊!G6</f>
        <v>071/04/20</v>
      </c>
    </row>
    <row r="7" spans="1:7">
      <c r="A7" s="3" t="s">
        <v>244</v>
      </c>
      <c r="B7" s="3" t="s">
        <v>8</v>
      </c>
      <c r="C7" s="3" t="str">
        <f>全員名冊!C7</f>
        <v>護理人員</v>
      </c>
      <c r="D7" s="3" t="str">
        <f>全員名冊!D7</f>
        <v>邱秋蓉</v>
      </c>
      <c r="E7" s="3" t="str">
        <f>全員名冊!E7</f>
        <v>J220827446</v>
      </c>
      <c r="F7" s="3" t="str">
        <f>全員名冊!F7</f>
        <v>女</v>
      </c>
      <c r="G7" s="7" t="str">
        <f>全員名冊!G7</f>
        <v>052/05/10</v>
      </c>
    </row>
    <row r="8" spans="1:7">
      <c r="A8" s="3" t="s">
        <v>245</v>
      </c>
      <c r="B8" s="3" t="s">
        <v>8</v>
      </c>
      <c r="C8" s="3" t="str">
        <f>全員名冊!C8</f>
        <v>護理人員</v>
      </c>
      <c r="D8" s="3" t="str">
        <f>全員名冊!D8</f>
        <v>沈心榆</v>
      </c>
      <c r="E8" s="3" t="str">
        <f>全員名冊!E8</f>
        <v>H225293396</v>
      </c>
      <c r="F8" s="3" t="str">
        <f>全員名冊!F8</f>
        <v>女</v>
      </c>
      <c r="G8" s="7" t="str">
        <f>全員名冊!G8</f>
        <v>090/02/06</v>
      </c>
    </row>
    <row r="9" spans="1:7">
      <c r="A9" s="3" t="s">
        <v>207</v>
      </c>
      <c r="B9" s="3" t="s">
        <v>8</v>
      </c>
      <c r="C9" s="3" t="str">
        <f>全員名冊!C9</f>
        <v>護理人員</v>
      </c>
      <c r="D9" s="3" t="str">
        <f>全員名冊!D9</f>
        <v>郭宥彤</v>
      </c>
      <c r="E9" s="3" t="str">
        <f>全員名冊!E9</f>
        <v>H223067576</v>
      </c>
      <c r="F9" s="3" t="str">
        <f>全員名冊!F9</f>
        <v>女</v>
      </c>
      <c r="G9" s="7" t="str">
        <f>全員名冊!G9</f>
        <v>070/09/18</v>
      </c>
    </row>
    <row r="10" spans="1:7">
      <c r="A10" s="3" t="s">
        <v>193</v>
      </c>
      <c r="B10" s="3" t="s">
        <v>8</v>
      </c>
      <c r="C10" s="3" t="str">
        <f>全員名冊!C10</f>
        <v>營養師</v>
      </c>
      <c r="D10" s="3" t="str">
        <f>全員名冊!D10</f>
        <v>楊明珠</v>
      </c>
      <c r="E10" s="3" t="str">
        <f>全員名冊!E10</f>
        <v>F222405490</v>
      </c>
      <c r="F10" s="3" t="str">
        <f>全員名冊!F10</f>
        <v>女</v>
      </c>
      <c r="G10" s="7" t="str">
        <f>全員名冊!G10</f>
        <v>049/12/24</v>
      </c>
    </row>
    <row r="11" spans="1:7">
      <c r="A11" s="3" t="s">
        <v>360</v>
      </c>
      <c r="B11" s="3" t="s">
        <v>8</v>
      </c>
      <c r="C11" s="3" t="str">
        <f>全員名冊!C11</f>
        <v>本國籍照顧服務員</v>
      </c>
      <c r="D11" s="3" t="str">
        <f>全員名冊!D11</f>
        <v>謝雪梅</v>
      </c>
      <c r="E11" s="3" t="str">
        <f>全員名冊!E11</f>
        <v>T202240047</v>
      </c>
      <c r="F11" s="3" t="str">
        <f>全員名冊!F11</f>
        <v>女</v>
      </c>
      <c r="G11" s="7" t="str">
        <f>全員名冊!G11</f>
        <v>044/08/11</v>
      </c>
    </row>
    <row r="12" spans="1:7">
      <c r="A12" s="3" t="s">
        <v>195</v>
      </c>
      <c r="B12" s="3" t="s">
        <v>8</v>
      </c>
      <c r="C12" s="3" t="str">
        <f>全員名冊!C12</f>
        <v>本國籍照顧服務員</v>
      </c>
      <c r="D12" s="3" t="str">
        <f>全員名冊!D12</f>
        <v>廖銀隊</v>
      </c>
      <c r="E12" s="3" t="str">
        <f>全員名冊!E12</f>
        <v>P221224274</v>
      </c>
      <c r="F12" s="3" t="str">
        <f>全員名冊!F12</f>
        <v>女</v>
      </c>
      <c r="G12" s="7" t="str">
        <f>全員名冊!G12</f>
        <v>050/08/20</v>
      </c>
    </row>
    <row r="13" spans="1:7">
      <c r="A13" s="3" t="s">
        <v>361</v>
      </c>
      <c r="B13" s="3" t="s">
        <v>8</v>
      </c>
      <c r="C13" s="3" t="str">
        <f>全員名冊!C13</f>
        <v>本國籍照顧服務員</v>
      </c>
      <c r="D13" s="3" t="str">
        <f>全員名冊!D13</f>
        <v>曾月鳳</v>
      </c>
      <c r="E13" s="3" t="str">
        <f>全員名冊!E13</f>
        <v>J200511456</v>
      </c>
      <c r="F13" s="3" t="str">
        <f>全員名冊!F13</f>
        <v>男</v>
      </c>
      <c r="G13" s="7" t="str">
        <f>全員名冊!G13</f>
        <v>041/09/24</v>
      </c>
    </row>
    <row r="14" spans="1:7">
      <c r="A14" s="3" t="s">
        <v>362</v>
      </c>
      <c r="B14" s="3" t="s">
        <v>8</v>
      </c>
      <c r="C14" s="3" t="str">
        <f>全員名冊!C14</f>
        <v>本國籍照顧服務員</v>
      </c>
      <c r="D14" s="3" t="str">
        <f>全員名冊!D14</f>
        <v>王櫻桃</v>
      </c>
      <c r="E14" s="3" t="str">
        <f>全員名冊!E14</f>
        <v>P220651884</v>
      </c>
      <c r="F14" s="3" t="str">
        <f>全員名冊!F14</f>
        <v>女</v>
      </c>
      <c r="G14" s="7" t="str">
        <f>全員名冊!G14</f>
        <v>053/03/10</v>
      </c>
    </row>
    <row r="15" spans="1:7">
      <c r="A15" s="3" t="s">
        <v>363</v>
      </c>
      <c r="B15" s="3" t="s">
        <v>8</v>
      </c>
      <c r="C15" s="3" t="str">
        <f>全員名冊!C15</f>
        <v>本國籍照顧服務員</v>
      </c>
      <c r="D15" s="3" t="str">
        <f>全員名冊!D15</f>
        <v>胡秀茵</v>
      </c>
      <c r="E15" s="3" t="str">
        <f>全員名冊!E15</f>
        <v>U221198103</v>
      </c>
      <c r="F15" s="3" t="str">
        <f>全員名冊!F15</f>
        <v>女</v>
      </c>
      <c r="G15" s="7" t="str">
        <f>全員名冊!G15</f>
        <v>057/08/28</v>
      </c>
    </row>
    <row r="16" spans="1:7">
      <c r="A16" s="3" t="s">
        <v>364</v>
      </c>
      <c r="B16" s="3" t="s">
        <v>8</v>
      </c>
      <c r="C16" s="3" t="str">
        <f>全員名冊!C16</f>
        <v>本國籍照顧服務員</v>
      </c>
      <c r="D16" s="3" t="str">
        <f>全員名冊!D16</f>
        <v>呂宜珮</v>
      </c>
      <c r="E16" s="3" t="str">
        <f>全員名冊!E16</f>
        <v>N222862731</v>
      </c>
      <c r="F16" s="3" t="str">
        <f>全員名冊!F16</f>
        <v>男</v>
      </c>
      <c r="G16" s="7" t="str">
        <f>全員名冊!G16</f>
        <v>065/03/19</v>
      </c>
    </row>
    <row r="17" spans="1:7">
      <c r="A17" s="3" t="s">
        <v>365</v>
      </c>
      <c r="B17" s="3" t="s">
        <v>8</v>
      </c>
      <c r="C17" s="3" t="str">
        <f>全員名冊!C17</f>
        <v>外籍照顧服務員</v>
      </c>
      <c r="D17" s="3" t="str">
        <f>全員名冊!D17</f>
        <v>泰氏青</v>
      </c>
      <c r="E17" s="3" t="str">
        <f>全員名冊!E17</f>
        <v>A900096405</v>
      </c>
      <c r="F17" s="3" t="str">
        <f>全員名冊!F17</f>
        <v>女</v>
      </c>
      <c r="G17" s="7" t="str">
        <f>全員名冊!G17</f>
        <v>072/07/20</v>
      </c>
    </row>
    <row r="18" spans="1:7">
      <c r="A18" s="3" t="s">
        <v>366</v>
      </c>
      <c r="B18" s="3" t="s">
        <v>8</v>
      </c>
      <c r="C18" s="3" t="str">
        <f>全員名冊!C18</f>
        <v>外籍照顧服務員</v>
      </c>
      <c r="D18" s="3" t="str">
        <f>全員名冊!D18</f>
        <v>周氏秀華</v>
      </c>
      <c r="E18" s="3" t="str">
        <f>全員名冊!E18</f>
        <v>F900142514</v>
      </c>
      <c r="F18" s="3" t="str">
        <f>全員名冊!F18</f>
        <v>女</v>
      </c>
      <c r="G18" s="7" t="str">
        <f>全員名冊!G18</f>
        <v>071/07/27</v>
      </c>
    </row>
    <row r="19" spans="1:7">
      <c r="A19" s="3" t="s">
        <v>367</v>
      </c>
      <c r="B19" s="3" t="s">
        <v>8</v>
      </c>
      <c r="C19" s="3" t="str">
        <f>全員名冊!C19</f>
        <v>外籍照顧服務員</v>
      </c>
      <c r="D19" s="3" t="str">
        <f>全員名冊!D19</f>
        <v>阮氏河</v>
      </c>
      <c r="E19" s="3" t="str">
        <f>全員名冊!E19</f>
        <v>H900341699</v>
      </c>
      <c r="F19" s="3" t="str">
        <f>全員名冊!F19</f>
        <v>女</v>
      </c>
      <c r="G19" s="7" t="str">
        <f>全員名冊!G19</f>
        <v>074/10/30</v>
      </c>
    </row>
    <row r="20" spans="1:7">
      <c r="A20" s="3" t="s">
        <v>368</v>
      </c>
      <c r="B20" s="3" t="s">
        <v>8</v>
      </c>
      <c r="C20" s="3" t="str">
        <f>全員名冊!C20</f>
        <v>外籍照顧服務員</v>
      </c>
      <c r="D20" s="3" t="str">
        <f>全員名冊!D20</f>
        <v>裴氏燕</v>
      </c>
      <c r="E20" s="3" t="str">
        <f>全員名冊!E20</f>
        <v>A900680694</v>
      </c>
      <c r="F20" s="3" t="str">
        <f>全員名冊!F20</f>
        <v>女</v>
      </c>
      <c r="G20" s="7" t="str">
        <f>全員名冊!G20</f>
        <v>086/04/14</v>
      </c>
    </row>
    <row r="21" spans="1:7">
      <c r="A21" s="3" t="s">
        <v>369</v>
      </c>
      <c r="B21" s="3" t="s">
        <v>8</v>
      </c>
      <c r="C21" s="3" t="str">
        <f>全員名冊!C21</f>
        <v>外籍照顧服務員</v>
      </c>
      <c r="D21" s="3" t="str">
        <f>全員名冊!D21</f>
        <v>武氏紅</v>
      </c>
      <c r="E21" s="3" t="str">
        <f>全員名冊!E21</f>
        <v>H901124085</v>
      </c>
      <c r="F21" s="3" t="str">
        <f>全員名冊!F21</f>
        <v>女</v>
      </c>
      <c r="G21" s="7" t="str">
        <f>全員名冊!G21</f>
        <v>079/09/26</v>
      </c>
    </row>
    <row r="22" spans="1:7">
      <c r="A22" s="3" t="s">
        <v>370</v>
      </c>
      <c r="B22" s="3" t="s">
        <v>8</v>
      </c>
      <c r="C22" s="3" t="str">
        <f>全員名冊!C22</f>
        <v>外籍照顧服務員</v>
      </c>
      <c r="D22" s="3" t="str">
        <f>全員名冊!D22</f>
        <v>阮氏花</v>
      </c>
      <c r="E22" s="3" t="str">
        <f>全員名冊!E22</f>
        <v>H900639069</v>
      </c>
      <c r="F22" s="3" t="str">
        <f>全員名冊!F22</f>
        <v>女</v>
      </c>
      <c r="G22" s="7" t="str">
        <f>全員名冊!G22</f>
        <v>080/03/28</v>
      </c>
    </row>
    <row r="23" spans="1:7">
      <c r="A23" s="3" t="s">
        <v>371</v>
      </c>
      <c r="B23" s="3" t="s">
        <v>8</v>
      </c>
      <c r="C23" s="3" t="str">
        <f>全員名冊!C23</f>
        <v>外籍照顧服務員</v>
      </c>
      <c r="D23" s="3" t="str">
        <f>全員名冊!D23</f>
        <v>阮氏瓊</v>
      </c>
      <c r="E23" s="3" t="str">
        <f>全員名冊!E23</f>
        <v>F900438471</v>
      </c>
      <c r="F23" s="3" t="str">
        <f>全員名冊!F23</f>
        <v>女</v>
      </c>
      <c r="G23" s="7" t="str">
        <f>全員名冊!G23</f>
        <v>081/10/03</v>
      </c>
    </row>
    <row r="24" spans="1:7">
      <c r="A24" s="3" t="s">
        <v>372</v>
      </c>
      <c r="B24" s="3" t="s">
        <v>8</v>
      </c>
      <c r="C24" s="3" t="str">
        <f>全員名冊!C24</f>
        <v>外籍照顧服務員</v>
      </c>
      <c r="D24" s="3" t="s">
        <v>350</v>
      </c>
      <c r="E24" s="3" t="s">
        <v>351</v>
      </c>
      <c r="F24" s="3" t="s">
        <v>352</v>
      </c>
      <c r="G24" s="76" t="s">
        <v>354</v>
      </c>
    </row>
    <row r="25" spans="1:7">
      <c r="A25" s="3" t="s">
        <v>373</v>
      </c>
      <c r="B25" s="3" t="s">
        <v>8</v>
      </c>
      <c r="C25" s="3" t="str">
        <f>全員名冊!C25</f>
        <v>廚工</v>
      </c>
      <c r="D25" s="3" t="str">
        <f>全員名冊!D25</f>
        <v>陳美紅</v>
      </c>
      <c r="E25" s="3" t="str">
        <f>全員名冊!E25</f>
        <v>K201187544</v>
      </c>
      <c r="F25" s="3" t="str">
        <f>全員名冊!F25</f>
        <v>女</v>
      </c>
      <c r="G25" s="7" t="str">
        <f>全員名冊!G25</f>
        <v>044/06/06</v>
      </c>
    </row>
    <row r="26" spans="1:7">
      <c r="A26" s="3" t="s">
        <v>374</v>
      </c>
      <c r="B26" s="3" t="s">
        <v>8</v>
      </c>
      <c r="C26" s="3" t="str">
        <f>全員名冊!C26</f>
        <v>總務(防火管理人)</v>
      </c>
      <c r="D26" s="3" t="str">
        <f>全員名冊!D26</f>
        <v>廖運谷</v>
      </c>
      <c r="E26" s="3" t="str">
        <f>全員名冊!E26</f>
        <v>H120465951</v>
      </c>
      <c r="F26" s="3" t="str">
        <f>全員名冊!F26</f>
        <v>男</v>
      </c>
      <c r="G26" s="7" t="str">
        <f>全員名冊!G26</f>
        <v>055/08/16</v>
      </c>
    </row>
    <row r="27" spans="1:7">
      <c r="A27" s="3" t="s">
        <v>375</v>
      </c>
      <c r="B27" s="5" t="s">
        <v>87</v>
      </c>
      <c r="C27" s="3" t="str">
        <f>全員名冊!C27</f>
        <v>復健治療師</v>
      </c>
      <c r="D27" s="3" t="str">
        <f>全員名冊!D27</f>
        <v>葉聖慈</v>
      </c>
      <c r="E27" s="3" t="str">
        <f>全員名冊!E27</f>
        <v>H222486568</v>
      </c>
      <c r="F27" s="3" t="str">
        <f>全員名冊!F27</f>
        <v>女</v>
      </c>
      <c r="G27" s="8" t="str">
        <f>全員名冊!G27</f>
        <v>070/05/09</v>
      </c>
    </row>
    <row r="28" spans="1:7">
      <c r="A28" s="3" t="s">
        <v>376</v>
      </c>
      <c r="B28" s="5" t="s">
        <v>87</v>
      </c>
      <c r="C28" s="5" t="str">
        <f>全員名冊!C28</f>
        <v>醫師</v>
      </c>
      <c r="D28" s="5" t="str">
        <f>全員名冊!D28</f>
        <v>朱國大</v>
      </c>
      <c r="E28" s="5" t="s">
        <v>348</v>
      </c>
      <c r="F28" s="3" t="str">
        <f>全員名冊!F28</f>
        <v>男</v>
      </c>
      <c r="G28" s="26" t="s">
        <v>349</v>
      </c>
    </row>
    <row r="29" spans="1:7">
      <c r="A29" s="3" t="s">
        <v>377</v>
      </c>
      <c r="B29" s="5" t="s">
        <v>87</v>
      </c>
      <c r="C29" s="3" t="str">
        <f>全員名冊!C29</f>
        <v>藥師</v>
      </c>
      <c r="D29" s="3" t="str">
        <f>全員名冊!D29</f>
        <v>林文鴒</v>
      </c>
      <c r="E29" s="3" t="str">
        <f>全員名冊!E29</f>
        <v>H220174250</v>
      </c>
      <c r="F29" s="3" t="str">
        <f>全員名冊!F29</f>
        <v>男</v>
      </c>
      <c r="G29" s="8" t="str">
        <f>全員名冊!G29</f>
        <v>067/08/13</v>
      </c>
    </row>
    <row r="30" spans="1:7">
      <c r="A30" s="3" t="s">
        <v>378</v>
      </c>
      <c r="B30" s="5" t="s">
        <v>87</v>
      </c>
      <c r="C30" s="3" t="str">
        <f>全員名冊!C30</f>
        <v>社工</v>
      </c>
      <c r="D30" s="3" t="str">
        <f>全員名冊!D30</f>
        <v>翁嬿婷</v>
      </c>
      <c r="E30" s="3" t="str">
        <f>全員名冊!E30</f>
        <v>D222656182</v>
      </c>
      <c r="F30" s="3" t="str">
        <f>全員名冊!F30</f>
        <v>女</v>
      </c>
      <c r="G30" s="8" t="str">
        <f>全員名冊!G30</f>
        <v>083/04/06</v>
      </c>
    </row>
    <row r="31" spans="1:7" ht="17.25" thickBot="1">
      <c r="A31" s="77"/>
      <c r="C31" s="1"/>
      <c r="D31" s="1"/>
      <c r="E31" s="1"/>
      <c r="F31" s="1"/>
      <c r="G31" s="1"/>
    </row>
    <row r="32" spans="1:7" ht="17.25" thickTop="1"/>
  </sheetData>
  <mergeCells count="1">
    <mergeCell ref="A1:G1"/>
  </mergeCells>
  <phoneticPr fontId="2" type="noConversion"/>
  <pageMargins left="0.48" right="0.2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</vt:i4>
      </vt:variant>
    </vt:vector>
  </HeadingPairs>
  <TitlesOfParts>
    <vt:vector size="6" baseType="lpstr">
      <vt:lpstr>全員名冊</vt:lpstr>
      <vt:lpstr>護理人員名冊</vt:lpstr>
      <vt:lpstr>照服員名冊</vt:lpstr>
      <vt:lpstr>其他</vt:lpstr>
      <vt:lpstr>3F員工</vt:lpstr>
      <vt:lpstr>全員名冊!Print_Area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pnch87872011@gmail.com</dc:creator>
  <cp:lastModifiedBy>Yangmin3FNH</cp:lastModifiedBy>
  <cp:lastPrinted>2026-08-11T07:26:46Z</cp:lastPrinted>
  <dcterms:created xsi:type="dcterms:W3CDTF">2024-07-06T04:02:02Z</dcterms:created>
  <dcterms:modified xsi:type="dcterms:W3CDTF">2026-08-12T04:49:01Z</dcterms:modified>
</cp:coreProperties>
</file>